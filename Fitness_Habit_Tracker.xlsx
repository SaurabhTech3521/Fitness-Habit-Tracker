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mc:AlternateContent xmlns:mc="http://schemas.openxmlformats.org/markup-compatibility/2006">
    <mc:Choice Requires="x15">
      <x15ac:absPath xmlns:x15ac="http://schemas.microsoft.com/office/spreadsheetml/2010/11/ac" url="C:\Users\user\Downloads\Excel Pract\"/>
    </mc:Choice>
  </mc:AlternateContent>
  <xr:revisionPtr revIDLastSave="0" documentId="13_ncr:1_{E43443AC-52A2-463E-A202-B9E6068BCBC1}" xr6:coauthVersionLast="47" xr6:coauthVersionMax="47" xr10:uidLastSave="{00000000-0000-0000-0000-000000000000}"/>
  <bookViews>
    <workbookView xWindow="-120" yWindow="-120" windowWidth="20730" windowHeight="11760" firstSheet="4" activeTab="7" xr2:uid="{00000000-000D-0000-FFFF-FFFF00000000}"/>
  </bookViews>
  <sheets>
    <sheet name="Fitness_Tracker" sheetId="1" r:id="rId1"/>
    <sheet name="PT_WorkoutTrend" sheetId="3" r:id="rId2"/>
    <sheet name="PT_StepsTrend" sheetId="4" r:id="rId3"/>
    <sheet name="PT_CaloriesBurned" sheetId="5" r:id="rId4"/>
    <sheet name="PT_SleepTrend" sheetId="6" r:id="rId5"/>
    <sheet name="PT_HabitRate" sheetId="7" r:id="rId6"/>
    <sheet name="PT_Water_Intake" sheetId="10" r:id="rId7"/>
    <sheet name="Dashboard_Sheet" sheetId="8" r:id="rId8"/>
    <sheet name="Cleaned_Data" sheetId="2" r:id="rId9"/>
  </sheets>
  <definedNames>
    <definedName name="Slicer_Date">#N/A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6" i="8" l="1" a="1"/>
  <c r="Q16" i="8" s="1"/>
  <c r="A16" i="8"/>
  <c r="I16" i="8"/>
  <c r="Q6" i="8"/>
  <c r="I6" i="8"/>
  <c r="A6"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<sst xmlns="http://schemas.openxmlformats.org/spreadsheetml/2006/main" count="163" uniqueCount="22">
  <si>
    <t>Date</t>
  </si>
  <si>
    <t>Workout (min)</t>
  </si>
  <si>
    <t>Steps</t>
  </si>
  <si>
    <t>Calories Burned</t>
  </si>
  <si>
    <t>Water Intake (L)</t>
  </si>
  <si>
    <t>Sleep (hrs)</t>
  </si>
  <si>
    <t>Habit Completed</t>
  </si>
  <si>
    <t>Yes</t>
  </si>
  <si>
    <t>No</t>
  </si>
  <si>
    <t>Week</t>
  </si>
  <si>
    <t>Month</t>
  </si>
  <si>
    <t>Day</t>
  </si>
  <si>
    <t>Row Labels</t>
  </si>
  <si>
    <t>Grand Total</t>
  </si>
  <si>
    <t>Jan</t>
  </si>
  <si>
    <t>Sum of Workout (min)</t>
  </si>
  <si>
    <t>Sum of Steps</t>
  </si>
  <si>
    <t>Sum of Calories Burned</t>
  </si>
  <si>
    <t>Sum of Sleep (hrs)</t>
  </si>
  <si>
    <t>Count of Habit Completed</t>
  </si>
  <si>
    <t>Sum of Water Intake (L)</t>
  </si>
  <si>
    <t>FITNESS HABIT TRACKER DASHBOARD (Jan - Mar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</si>
</sst>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3" x14ac:knownFonts="1">
    <font>
      <sz val="11"/>
      <color theme="1"/>
      <name val="Calibri"/>
      <family val="2"/>
      <scheme val="minor"/>
    </font>
    <font>
      <b/>
      <sz val="26"/>
      <color theme="1"/>
      <name val="Calibri"/>
      <family val="2"/>
      <scheme val="minor"/>
    </font>
    <font>
      <sz val="26"/>
      <color theme="1"/>
      <name val="Times New Roman"/>
      <family val="1"/>
    </font>
  </fonts>
  <fills count="5">
    <fill>
      <patternFill patternType="none"/>
    </fill>
    <fill>
      <patternFill patternType="gray125"/>
    </fill>
    <fill>
      <patternFill patternType="solid">
        <fgColor theme="0"/>
        <bgColor indexed="64"/>
      </patternFill>
    </fill>
    <fill>
      <patternFill patternType="solid">
        <fgColor theme="2" tint="-0.499984740745262"/>
        <bgColor indexed="64"/>
      </patternFill>
    </fill>
    <fill>
      <patternFill patternType="solid">
        <fgColor theme="1" tint="0.14999847407452621"/>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14" fontId="0" fillId="0" borderId="0" xfId="0" applyNumberFormat="1"/>
    <xf numFmtId="165" fontId="0" fillId="0" borderId="0" xfId="0" applyNumberFormat="1"/>
    <xf numFmtId="1" fontId="0" fillId="0" borderId="0" xfId="0" applyNumberFormat="1"/>
    <xf numFmtId="49"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10" fontId="0" fillId="0" borderId="0" xfId="0" applyNumberFormat="1"/>
    <xf numFmtId="0" fontId="0" fillId="0" borderId="0" xfId="0" applyNumberFormat="1"/>
    <xf numFmtId="0" fontId="1" fillId="3" borderId="0" xfId="0" applyFont="1" applyFill="1" applyAlignment="1">
      <alignment horizontal="center"/>
    </xf>
    <xf numFmtId="0" fontId="0" fillId="4" borderId="0" xfId="0" applyFill="1"/>
    <xf numFmtId="2" fontId="0" fillId="4" borderId="0" xfId="0" applyNumberFormat="1" applyFill="1"/>
    <xf numFmtId="165" fontId="0" fillId="4" borderId="0" xfId="0" applyNumberFormat="1" applyFill="1"/>
    <xf numFmtId="0" fontId="2" fillId="3" borderId="0" xfId="0" applyFont="1" applyFill="1" applyAlignment="1">
      <alignment horizontal="center"/>
    </xf>
    <xf numFmtId="0" fontId="0" fillId="2" borderId="0" xfId="0" applyFill="1"/>
  </cellXfs>
  <cellStyles count="1">
    <cellStyle name="Normal" xfId="0" builtinId="0"/>
  </cellStyles>
  <dxfs count="2">
    <dxf>
      <font>
        <b/>
        <i val="0"/>
        <sz val="12"/>
        <color theme="1"/>
        <name val="Times New Roman"/>
        <family val="1"/>
        <scheme val="none"/>
      </font>
      <fill>
        <patternFill>
          <bgColor theme="9" tint="0.59996337778862885"/>
        </patternFill>
      </fill>
      <border diagonalUp="0" diagonalDown="0">
        <left style="thin">
          <color theme="1"/>
        </left>
        <right style="thin">
          <color theme="1"/>
        </right>
        <top style="thin">
          <color theme="1"/>
        </top>
        <bottom style="thin">
          <color theme="1"/>
        </bottom>
        <vertical/>
        <horizontal/>
      </border>
    </dxf>
    <dxf>
      <font>
        <color theme="1" tint="0.14996795556505021"/>
      </font>
    </dxf>
  </dxfs>
  <tableStyles count="2" defaultTableStyle="TableStyleMedium9" defaultPivotStyle="PivotStyleLight16">
    <tableStyle name="Slicer Style 1" pivot="0" table="0" count="1" xr9:uid="{A03EFE3F-DAC1-4365-B92B-FD38E57FAB65}">
      <tableStyleElement type="wholeTable" dxfId="1"/>
    </tableStyle>
    <tableStyle name="Slicer Style 2" pivot="0" table="0" count="6" xr9:uid="{7FC0C628-C004-4265-9D80-24954C4E7B38}">
      <tableStyleElement type="wholeTable" dxfId="0"/>
    </tableStyle>
  </tableStyles>
  <extLst>
    <ext xmlns:x14="http://schemas.microsoft.com/office/spreadsheetml/2009/9/main" uri="{46F421CA-312F-682f-3DD2-61675219B42D}">
      <x14:dxfs count="35">
        <dxf>
          <font>
            <color theme="4" tint="0.39994506668294322"/>
          </font>
        </dxf>
        <dxf>
          <font>
            <color theme="4" tint="-0.24994659260841701"/>
          </font>
          <fill>
            <patternFill>
              <bgColor rgb="FF7030A0"/>
            </patternFill>
          </fill>
        </dxf>
        <dxf>
          <font>
            <color rgb="FF7030A0"/>
          </font>
          <fill>
            <patternFill>
              <bgColor theme="9" tint="-0.24994659260841701"/>
            </patternFill>
          </fill>
        </dxf>
        <dxf>
          <font>
            <color rgb="FF7030A0"/>
          </font>
          <fill>
            <patternFill>
              <bgColor rgb="FF00B050"/>
            </patternFill>
          </fill>
        </dxf>
        <dxf>
          <font>
            <color theme="1" tint="0.34998626667073579"/>
          </font>
        </dxf>
        <dxf>
          <font>
            <color theme="4" tint="0.39994506668294322"/>
          </font>
        </dxf>
        <dxf>
          <font>
            <color theme="4" tint="-0.24994659260841701"/>
          </font>
          <fill>
            <patternFill>
              <bgColor rgb="FF7030A0"/>
            </patternFill>
          </fill>
        </dxf>
        <dxf>
          <font>
            <color rgb="FF7030A0"/>
          </font>
          <fill>
            <patternFill>
              <bgColor theme="9" tint="-0.24994659260841701"/>
            </patternFill>
          </fill>
        </dxf>
        <dxf>
          <font>
            <color rgb="FF7030A0"/>
          </font>
          <fill>
            <patternFill>
              <bgColor rgb="FF00B050"/>
            </patternFill>
          </fill>
        </dxf>
        <dxf>
          <font>
            <color theme="1" tint="0.34998626667073579"/>
          </font>
        </dxf>
        <dxf>
          <font>
            <color theme="4" tint="0.39994506668294322"/>
          </font>
        </dxf>
        <dxf>
          <font>
            <color theme="4" tint="-0.24994659260841701"/>
          </font>
          <fill>
            <patternFill>
              <bgColor rgb="FF7030A0"/>
            </patternFill>
          </fill>
        </dxf>
        <dxf>
          <font>
            <color rgb="FF7030A0"/>
          </font>
          <fill>
            <patternFill>
              <bgColor theme="9" tint="-0.24994659260841701"/>
            </patternFill>
          </fill>
        </dxf>
        <dxf>
          <font>
            <color rgb="FF7030A0"/>
          </font>
          <fill>
            <patternFill>
              <bgColor rgb="FF00B050"/>
            </patternFill>
          </fill>
        </dxf>
        <dxf>
          <font>
            <color theme="1" tint="0.34998626667073579"/>
          </font>
        </dxf>
        <dxf>
          <font>
            <color theme="4" tint="0.39994506668294322"/>
          </font>
        </dxf>
        <dxf>
          <font>
            <color theme="4" tint="-0.24994659260841701"/>
          </font>
          <fill>
            <patternFill>
              <bgColor rgb="FF7030A0"/>
            </patternFill>
          </fill>
        </dxf>
        <dxf>
          <font>
            <color rgb="FF7030A0"/>
          </font>
          <fill>
            <patternFill>
              <bgColor theme="9" tint="-0.24994659260841701"/>
            </patternFill>
          </fill>
        </dxf>
        <dxf>
          <font>
            <color rgb="FF7030A0"/>
          </font>
          <fill>
            <patternFill>
              <bgColor rgb="FF00B050"/>
            </patternFill>
          </fill>
        </dxf>
        <dxf>
          <font>
            <color theme="1" tint="0.34998626667073579"/>
          </font>
        </dxf>
        <dxf>
          <font>
            <color theme="4" tint="0.39994506668294322"/>
          </font>
        </dxf>
        <dxf>
          <font>
            <color theme="4" tint="-0.24994659260841701"/>
          </font>
          <fill>
            <patternFill>
              <bgColor rgb="FF7030A0"/>
            </patternFill>
          </fill>
        </dxf>
        <dxf>
          <font>
            <color rgb="FF7030A0"/>
          </font>
          <fill>
            <patternFill>
              <bgColor theme="9" tint="-0.24994659260841701"/>
            </patternFill>
          </fill>
        </dxf>
        <dxf>
          <font>
            <color rgb="FF7030A0"/>
          </font>
          <fill>
            <patternFill>
              <bgColor rgb="FF00B050"/>
            </patternFill>
          </fill>
        </dxf>
        <dxf>
          <font>
            <color theme="1" tint="0.34998626667073579"/>
          </font>
        </dxf>
        <dxf>
          <font>
            <color theme="4" tint="0.39994506668294322"/>
          </font>
        </dxf>
        <dxf>
          <font>
            <color theme="4" tint="-0.24994659260841701"/>
          </font>
          <fill>
            <patternFill>
              <bgColor rgb="FF7030A0"/>
            </patternFill>
          </fill>
        </dxf>
        <dxf>
          <font>
            <color rgb="FF7030A0"/>
          </font>
          <fill>
            <patternFill>
              <bgColor theme="9" tint="-0.24994659260841701"/>
            </patternFill>
          </fill>
        </dxf>
        <dxf>
          <font>
            <color rgb="FF7030A0"/>
          </font>
          <fill>
            <patternFill>
              <bgColor rgb="FF00B050"/>
            </patternFill>
          </fill>
        </dxf>
        <dxf>
          <font>
            <color theme="1" tint="0.34998626667073579"/>
          </font>
        </dxf>
        <dxf>
          <font>
            <color theme="4" tint="0.39994506668294322"/>
          </font>
        </dxf>
        <dxf>
          <font>
            <color theme="4" tint="-0.24994659260841701"/>
          </font>
          <fill>
            <patternFill>
              <bgColor rgb="FF7030A0"/>
            </patternFill>
          </fill>
        </dxf>
        <dxf>
          <font>
            <color rgb="FF7030A0"/>
          </font>
          <fill>
            <patternFill>
              <bgColor theme="9" tint="-0.24994659260841701"/>
            </patternFill>
          </fill>
        </dxf>
        <dxf>
          <font>
            <color rgb="FF7030A0"/>
          </font>
          <fill>
            <patternFill>
              <bgColor rgb="FF00B050"/>
            </patternFill>
          </fill>
        </dxf>
        <dxf>
          <font>
            <color theme="1" tint="0.34998626667073579"/>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[Fitness_Habit_Tracker.xlsx]PT_CaloriesBurned!PivotTable3</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PT_CaloriesBurned!$B$3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PT_CaloriesBurned!$A$4:$A$5</c:f>
              <c:strCache>
                <c:ptCount val="1"/>
                <c:pt idx="0">
                  <c:v>Jan</c:v>
                </c:pt>
              </c:strCache>
            </c:strRef>
          </c:cat>
          <c:val>
            <c:numRef>
              <c:f>PT_CaloriesBurned!$B$4:$B$5</c:f>
              <c:numCache>
                <c:formatCode>General</c:formatCode>
                <c:ptCount val="1"/>
                <c:pt idx="0">
                  <c:v>56522</c:v>
                </c:pt>
              </c:numCache>
            </c:numRef>
          </c:val>
          <c:extLst>
            <c:ext xmlns:c16="http://schemas.microsoft.com/office/drawing/2014/chart" uri="{C3380CC4-5D6E-409C-BE32-E72D297353CC}">
              <c16:uniqueId val="{00000000-4215-486D-B5FF-0A82E0613577}"/>
            </c:ext>
          </c:extLst>
        </c:ser>
        <c:dLbls>
          <c:showLegendKey val="0"/>
          <c:showVal val="0"/>
          <c:showCatName val="0"/>
          <c:showSerName val="0"/>
          <c:showPercent val="0"/>
          <c:showBubbleSize val="0"/>
        </c:dLbls>
        <c:gapWidth val="100"/>
        <c:overlap val="-24"/>
        <c:axId val="814884015"/>
        <c:axId val="814884431"/>
      </c:barChart>
      <c:catAx>
        <c:axId val="814884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4884431"/>
        <c:crosses val="autoZero"/>
        <c:auto val="1"/>
        <c:lblAlgn val="ctr"/>
        <c:lblOffset val="100"/>
        <c:noMultiLvlLbl val="0"/>
      </c:catAx>
      <c:valAx>
        <c:axId val="8148844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488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[Fitness_Habit_Tracker.xlsx]PT_Water_Intake!PivotTable6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Water Intake (L)"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82058869199346"/>
          <c:y val="0.27802919708029206"/>
          <c:w val="0.84922137355057803"/>
          <c:h val="0.55993965170412097"/>
        </c:manualLayout>
      </c:layout>
      <c:barChart>
        <c:barDir val="col"/>
        <c:grouping val="clustered"/>
        <c:varyColors val="0"/>
        <c:ser>
          <c:idx val="0"/>
          <c:order val="0"/>
          <c:tx>
            <c:strRef>
              <c:f>PT_Water_Intake!$B$3</c:f>
              <c:strCache>
                <c:ptCount val="1"/>
                <c:pt idx="0">
                  <c:v>Total</c:v>
                </c:pt>
              </c:strCache>
            </c:strRef>
          </c:tx>
          <c:spPr>
            <a:solidFill>
              <a:schemeClr val="tx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PT_Water_Intake!$A$4:$A$5</c:f>
              <c:strCache>
                <c:ptCount val="1"/>
                <c:pt idx="0">
                  <c:v>Jan</c:v>
                </c:pt>
              </c:strCache>
            </c:strRef>
          </c:cat>
          <c:val>
            <c:numRef>
              <c:f>PT_Water_Intake!$B$4:$B$5</c:f>
              <c:numCache>
                <c:formatCode>General</c:formatCode>
                <c:ptCount val="1"/>
                <c:pt idx="0">
                  <c:v>87.1</c:v>
                </c:pt>
              </c:numCache>
            </c:numRef>
          </c:val>
          <c:extLst>
            <c:ext xmlns:c16="http://schemas.microsoft.com/office/drawing/2014/chart" uri="{C3380CC4-5D6E-409C-BE32-E72D297353CC}">
              <c16:uniqueId val="{00000000-866C-48CB-9A41-C6F3DEC77E44}"/>
            </c:ext>
          </c:extLst>
        </c:ser>
        <c:dLbls>
          <c:showLegendKey val="0"/>
          <c:showVal val="0"/>
          <c:showCatName val="0"/>
          <c:showSerName val="0"/>
          <c:showPercent val="0"/>
          <c:showBubbleSize val="0"/>
        </c:dLbls>
        <c:gapWidth val="100"/>
        <c:overlap val="-24"/>
        <c:axId val="777211311"/>
        <c:axId val="617118607"/>
      </c:barChart>
      <c:catAx>
        <c:axId val="777211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7118607"/>
        <c:crosses val="autoZero"/>
        <c:auto val="1"/>
        <c:lblAlgn val="ctr"/>
        <c:lblOffset val="100"/>
        <c:noMultiLvlLbl val="0"/>
      </c:catAx>
      <c:valAx>
        <c:axId val="617118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7211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[Fitness_Habit_Tracker.xlsx]PT_WorkoutTrend!PivotTable1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Workout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solidFill>
              <a:schemeClr val="tx1">
                <a:lumMod val="95000"/>
                <a:lumOff val="5000"/>
              </a:schemeClr>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2">
                <a:lumMod val="90000"/>
              </a:schemeClr>
            </a:solidFill>
            <a:round/>
          </a:ln>
          <a:effectLst>
            <a:outerShdw blurRad="40000" dist="23000" dir="5400000" rotWithShape="0">
              <a:srgbClr val="000000">
                <a:alpha val="35000"/>
              </a:srgbClr>
            </a:outerShdw>
          </a:effectLst>
        </c:spPr>
        <c:marker>
          <c:spPr>
            <a:solidFill>
              <a:schemeClr val="tx1">
                <a:lumMod val="95000"/>
                <a:lumOff val="5000"/>
              </a:schemeClr>
            </a:solidFill>
            <a:ln w="9525">
              <a:solidFill>
                <a:schemeClr val="bg2">
                  <a:lumMod val="9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chemeClr val="bg2"/>
            </a:solidFill>
            <a:round/>
          </a:ln>
          <a:effectLst>
            <a:outerShdw blurRad="40000" dist="23000" dir="5400000" rotWithShape="0">
              <a:srgbClr val="000000">
                <a:alpha val="35000"/>
              </a:srgbClr>
            </a:outerShdw>
          </a:effectLst>
        </c:spPr>
        <c:marker>
          <c:spPr>
            <a:solidFill>
              <a:schemeClr val="tx1">
                <a:lumMod val="95000"/>
                <a:lumOff val="5000"/>
              </a:schemeClr>
            </a:solidFill>
            <a:ln w="9525">
              <a:solidFill>
                <a:schemeClr val="bg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PT_WorkoutTrend!$B$3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solidFill>
                <a:schemeClr val="tx1">
                  <a:lumMod val="95000"/>
                  <a:lumOff val="5000"/>
                </a:schemeClr>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PT_WorkoutTrend!$A$4:$A$5</c:f>
              <c:strCache>
                <c:ptCount val="1"/>
                <c:pt idx="0">
                  <c:v>Jan</c:v>
                </c:pt>
              </c:strCache>
            </c:strRef>
          </c:cat>
          <c:val>
            <c:numRef>
              <c:f>PT_WorkoutTrend!$B$4:$B$5</c:f>
              <c:numCache>
                <c:formatCode>General</c:formatCode>
                <c:ptCount val="1"/>
                <c:pt idx="0">
                  <c:v>915</c:v>
                </c:pt>
              </c:numCache>
            </c:numRef>
          </c:val>
          <c:smooth val="0"/>
          <c:extLst>
            <c:ext xmlns:c16="http://schemas.microsoft.com/office/drawing/2014/chart" uri="{C3380CC4-5D6E-409C-BE32-E72D297353CC}">
              <c16:uniqueId val="{00000000-BDB1-484A-B6E0-2AE7EB4F9387}"/>
            </c:ext>
          </c:extLst>
        </c:ser>
        <c:dLbls>
          <c:showLegendKey val="0"/>
          <c:showVal val="0"/>
          <c:showCatName val="0"/>
          <c:showSerName val="0"/>
          <c:showPercent val="0"/>
          <c:showBubbleSize val="0"/>
        </c:dLbls>
        <c:marker val="1"/>
        <c:smooth val="0"/>
        <c:axId val="877437743"/>
        <c:axId val="877438575"/>
      </c:lineChart>
      <c:catAx>
        <c:axId val="8774377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7438575"/>
        <c:crosses val="autoZero"/>
        <c:auto val="1"/>
        <c:lblAlgn val="ctr"/>
        <c:lblOffset val="100"/>
        <c:noMultiLvlLbl val="0"/>
      </c:catAx>
      <c:valAx>
        <c:axId val="877438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7437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0000"/>
        <a:lumOff val="4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[Fitness_Habit_Tracker.xlsx]PT_StepsTrend!PivotTable2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Steps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PT_StepsTrend!$B$3</c:f>
              <c:strCache>
                <c:ptCount val="1"/>
                <c:pt idx="0">
                  <c:v>Total</c:v>
                </c:pt>
              </c:strCache>
            </c:strRef>
          </c:tx>
          <c:spPr>
            <a:solidFill>
              <a:schemeClr val="tx1">
                <a:lumMod val="75000"/>
                <a:lumOff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PT_StepsTrend!$A$4:$A$5</c:f>
              <c:strCache>
                <c:ptCount val="1"/>
                <c:pt idx="0">
                  <c:v>Jan</c:v>
                </c:pt>
              </c:strCache>
            </c:strRef>
          </c:cat>
          <c:val>
            <c:numRef>
              <c:f>PT_StepsTrend!$B$4:$B$5</c:f>
              <c:numCache>
                <c:formatCode>General</c:formatCode>
                <c:ptCount val="1"/>
                <c:pt idx="0">
                  <c:v>221234</c:v>
                </c:pt>
              </c:numCache>
            </c:numRef>
          </c:val>
          <c:extLst>
            <c:ext xmlns:c16="http://schemas.microsoft.com/office/drawing/2014/chart" uri="{C3380CC4-5D6E-409C-BE32-E72D297353CC}">
              <c16:uniqueId val="{00000000-6B75-4E27-97D9-82349092A8C1}"/>
            </c:ext>
          </c:extLst>
        </c:ser>
        <c:dLbls>
          <c:showLegendKey val="0"/>
          <c:showVal val="0"/>
          <c:showCatName val="0"/>
          <c:showSerName val="0"/>
          <c:showPercent val="0"/>
          <c:showBubbleSize val="0"/>
        </c:dLbls>
        <c:gapWidth val="100"/>
        <c:overlap val="-24"/>
        <c:axId val="777210063"/>
        <c:axId val="777210479"/>
      </c:barChart>
      <c:catAx>
        <c:axId val="777210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7210479"/>
        <c:crosses val="autoZero"/>
        <c:auto val="1"/>
        <c:lblAlgn val="ctr"/>
        <c:lblOffset val="100"/>
        <c:noMultiLvlLbl val="0"/>
      </c:catAx>
      <c:valAx>
        <c:axId val="777210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7210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[Fitness_Habit_Tracker.xlsx]PT_CaloriesBurned!PivotTable3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Calories Burned”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accent2">
                <a:lumMod val="50000"/>
              </a:schemeClr>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PT_CaloriesBurned!$B$3</c:f>
              <c:strCache>
                <c:ptCount val="1"/>
                <c:pt idx="0">
                  <c:v>Total</c:v>
                </c:pt>
              </c:strCache>
            </c:strRef>
          </c:tx>
          <c:spPr>
            <a:solidFill>
              <a:schemeClr val="accent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PT_CaloriesBurned!$A$4:$A$5</c:f>
              <c:strCache>
                <c:ptCount val="1"/>
                <c:pt idx="0">
                  <c:v>Jan</c:v>
                </c:pt>
              </c:strCache>
            </c:strRef>
          </c:cat>
          <c:val>
            <c:numRef>
              <c:f>PT_CaloriesBurned!$B$4:$B$5</c:f>
              <c:numCache>
                <c:formatCode>General</c:formatCode>
                <c:ptCount val="1"/>
                <c:pt idx="0">
                  <c:v>56522</c:v>
                </c:pt>
              </c:numCache>
            </c:numRef>
          </c:val>
          <c:extLst>
            <c:ext xmlns:c16="http://schemas.microsoft.com/office/drawing/2014/chart" uri="{C3380CC4-5D6E-409C-BE32-E72D297353CC}">
              <c16:uniqueId val="{00000000-A208-4D4A-912F-85E688101133}"/>
            </c:ext>
          </c:extLst>
        </c:ser>
        <c:dLbls>
          <c:showLegendKey val="0"/>
          <c:showVal val="0"/>
          <c:showCatName val="0"/>
          <c:showSerName val="0"/>
          <c:showPercent val="0"/>
          <c:showBubbleSize val="0"/>
        </c:dLbls>
        <c:gapWidth val="150"/>
        <c:axId val="878597167"/>
        <c:axId val="878595087"/>
      </c:barChart>
      <c:catAx>
        <c:axId val="878597167"/>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8595087"/>
        <c:crosses val="autoZero"/>
        <c:auto val="1"/>
        <c:lblAlgn val="ctr"/>
        <c:lblOffset val="100"/>
        <c:noMultiLvlLbl val="0"/>
      </c:catAx>
      <c:valAx>
        <c:axId val="878595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8597167"/>
        <c:crosses val="autoZero"/>
        <c:crossBetween val="between"/>
      </c:valAx>
      <c:spPr>
        <a:noFill/>
        <a:ln>
          <a:solidFill>
            <a:srgbClr val="00B050"/>
          </a:solid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0B05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[Fitness_Habit_Tracker.xlsx]PT_SleepTrend!PivotTable4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Sleep Pattern”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rgbClr val="00206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rgbClr val="00206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505301758154382E-2"/>
          <c:y val="0.30699386503067483"/>
          <c:w val="0.90833720012579433"/>
          <c:h val="0.48688533565206188"/>
        </c:manualLayout>
      </c:layout>
      <c:lineChart>
        <c:grouping val="standard"/>
        <c:varyColors val="0"/>
        <c:ser>
          <c:idx val="0"/>
          <c:order val="0"/>
          <c:tx>
            <c:strRef>
              <c:f>PT_SleepTrend!$B$3</c:f>
              <c:strCache>
                <c:ptCount val="1"/>
                <c:pt idx="0">
                  <c:v>Total</c:v>
                </c:pt>
              </c:strCache>
            </c:strRef>
          </c:tx>
          <c:spPr>
            <a:ln w="34925" cap="rnd">
              <a:solidFill>
                <a:srgbClr val="00206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rgbClr val="00206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PT_SleepTrend!$A$4:$A$5</c:f>
              <c:strCache>
                <c:ptCount val="1"/>
                <c:pt idx="0">
                  <c:v>Jan</c:v>
                </c:pt>
              </c:strCache>
            </c:strRef>
          </c:cat>
          <c:val>
            <c:numRef>
              <c:f>PT_SleepTrend!$B$4:$B$5</c:f>
              <c:numCache>
                <c:formatCode>General</c:formatCode>
                <c:ptCount val="1"/>
                <c:pt idx="0">
                  <c:v>216.2</c:v>
                </c:pt>
              </c:numCache>
            </c:numRef>
          </c:val>
          <c:smooth val="0"/>
          <c:extLst>
            <c:ext xmlns:c16="http://schemas.microsoft.com/office/drawing/2014/chart" uri="{C3380CC4-5D6E-409C-BE32-E72D297353CC}">
              <c16:uniqueId val="{00000000-BC27-49FC-962D-E10928C68076}"/>
            </c:ext>
          </c:extLst>
        </c:ser>
        <c:dLbls>
          <c:dLblPos val="t"/>
          <c:showLegendKey val="0"/>
          <c:showVal val="1"/>
          <c:showCatName val="0"/>
          <c:showSerName val="0"/>
          <c:showPercent val="0"/>
          <c:showBubbleSize val="0"/>
        </c:dLbls>
        <c:marker val="1"/>
        <c:smooth val="0"/>
        <c:axId val="877431503"/>
        <c:axId val="877436495"/>
      </c:lineChart>
      <c:catAx>
        <c:axId val="8774315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7436495"/>
        <c:crosses val="autoZero"/>
        <c:auto val="1"/>
        <c:lblAlgn val="ctr"/>
        <c:lblOffset val="100"/>
        <c:noMultiLvlLbl val="0"/>
      </c:catAx>
      <c:valAx>
        <c:axId val="877436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743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[Fitness_Habit_Tracker.xlsx]PT_HabitRate!PivotTable5</c:name>
    <c:fmtId val="7"/>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4999999999999969E-2"/>
              <c:y val="0"/>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0555555555555561E-2"/>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PT_HabitRate!$B$3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C4C-43E9-AAE4-FE89D0391DF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C4C-43E9-AAE4-FE89D0391DFC}"/>
              </c:ext>
            </c:extLst>
          </c:dPt>
          <c:cat>
            <c:strRef>
              <c:f>PT_HabitRate!$A$4:$A$6</c:f>
              <c:strCache>
                <c:ptCount val="2"/>
                <c:pt idx="0">
                  <c:v>No</c:v>
                </c:pt>
                <c:pt idx="1">
                  <c:v>Yes</c:v>
                </c:pt>
              </c:strCache>
            </c:strRef>
          </c:cat>
          <c:val>
            <c:numRef>
              <c:f>PT_HabitRate!$B$4:$B$6</c:f>
              <c:numCache>
                <c:formatCode>0.00%</c:formatCode>
                <c:ptCount val="2"/>
                <c:pt idx="0">
                  <c:v>0.4838709677419355</c:v>
                </c:pt>
                <c:pt idx="1">
                  <c:v>0.5161290322580645</c:v>
                </c:pt>
              </c:numCache>
            </c:numRef>
          </c:val>
          <c:extLst>
            <c:ext xmlns:c16="http://schemas.microsoft.com/office/drawing/2014/chart" uri="{C3380CC4-5D6E-409C-BE32-E72D297353CC}">
              <c16:uniqueId val="{00000004-7C4C-43E9-AAE4-FE89D0391DF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2861375469878429"/>
          <c:y val="0.10459730231379744"/>
          <c:w val="9.7800216168223819E-2"/>
          <c:h val="0.596504304903042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0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428625</xdr:colOff>
      <xdr:row>4</xdr:row>
      <xdr:rowOff>123825</xdr:rowOff>
    </xdr:from>
    <xdr:to>
      <xdr:col>12</xdr:col>
      <xdr:colOff>123825</xdr:colOff>
      <xdr:row>19</xdr:row>
      <xdr:rowOff>9525</xdr:rowOff>
    </xdr:to>
    <xdr:graphicFrame macro="">
      <xdr:nvGraphicFramePr>
        <xdr:cNvPr id="2" name="Chart 1">
          <a:extLst>
            <a:ext uri="{FF2B5EF4-FFF2-40B4-BE49-F238E27FC236}">
              <a16:creationId xmlns:a16="http://schemas.microsoft.com/office/drawing/2014/main" id="{9237F868-C37D-43A3-A846-122C0888FD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30687</xdr:rowOff>
    </xdr:from>
    <xdr:to>
      <xdr:col>7</xdr:col>
      <xdr:colOff>229962</xdr:colOff>
      <xdr:row>26</xdr:row>
      <xdr:rowOff>2112</xdr:rowOff>
    </xdr:to>
    <xdr:sp macro="" textlink="A16">
      <xdr:nvSpPr>
        <xdr:cNvPr id="10" name="Rectangle: Rounded Corners 9">
          <a:extLst>
            <a:ext uri="{FF2B5EF4-FFF2-40B4-BE49-F238E27FC236}">
              <a16:creationId xmlns:a16="http://schemas.microsoft.com/office/drawing/2014/main" id="{60C87326-04E6-42C5-920A-9FCE10DBA4AA}"/>
            </a:ext>
          </a:extLst>
        </xdr:cNvPr>
        <xdr:cNvSpPr/>
      </xdr:nvSpPr>
      <xdr:spPr>
        <a:xfrm>
          <a:off x="0" y="3152770"/>
          <a:ext cx="4526795" cy="2066925"/>
        </a:xfrm>
        <a:prstGeom prst="roundRect">
          <a:avLst/>
        </a:prstGeom>
        <a:solidFill>
          <a:schemeClr val="accent4">
            <a:lumMod val="50000"/>
          </a:schemeClr>
        </a:solidFill>
        <a:effectLst>
          <a:innerShdw blurRad="63500" dist="50800" dir="108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E0B0083C-5B1D-40F5-8C63-F0E5F77B0253}" type="TxLink">
            <a:rPr lang="en-US" sz="2000" b="1" i="0" u="none" strike="noStrike">
              <a:solidFill>
                <a:schemeClr val="tx1">
                  <a:lumMod val="95000"/>
                  <a:lumOff val="5000"/>
                </a:schemeClr>
              </a:solidFill>
              <a:latin typeface="Calibri"/>
              <a:ea typeface="Calibri"/>
              <a:cs typeface="Calibri"/>
            </a:rPr>
            <a:pPr algn="r"/>
            <a:t>2.84</a:t>
          </a:fld>
          <a:endParaRPr lang="en-US" sz="2000" b="1">
            <a:solidFill>
              <a:schemeClr val="tx1">
                <a:lumMod val="95000"/>
                <a:lumOff val="5000"/>
              </a:schemeClr>
            </a:solidFill>
          </a:endParaRPr>
        </a:p>
      </xdr:txBody>
    </xdr:sp>
    <xdr:clientData/>
  </xdr:twoCellAnchor>
  <xdr:twoCellAnchor>
    <xdr:from>
      <xdr:col>7</xdr:col>
      <xdr:colOff>336555</xdr:colOff>
      <xdr:row>15</xdr:row>
      <xdr:rowOff>37037</xdr:rowOff>
    </xdr:from>
    <xdr:to>
      <xdr:col>14</xdr:col>
      <xdr:colOff>566516</xdr:colOff>
      <xdr:row>26</xdr:row>
      <xdr:rowOff>8462</xdr:rowOff>
    </xdr:to>
    <xdr:sp macro="" textlink="I16">
      <xdr:nvSpPr>
        <xdr:cNvPr id="11" name="Rectangle: Rounded Corners 10">
          <a:extLst>
            <a:ext uri="{FF2B5EF4-FFF2-40B4-BE49-F238E27FC236}">
              <a16:creationId xmlns:a16="http://schemas.microsoft.com/office/drawing/2014/main" id="{DC462E48-57E9-480C-A01F-5376CE17D71F}"/>
            </a:ext>
          </a:extLst>
        </xdr:cNvPr>
        <xdr:cNvSpPr/>
      </xdr:nvSpPr>
      <xdr:spPr>
        <a:xfrm>
          <a:off x="4633388" y="3159120"/>
          <a:ext cx="4526795" cy="2066925"/>
        </a:xfrm>
        <a:prstGeom prst="roundRect">
          <a:avLst/>
        </a:prstGeom>
        <a:solidFill>
          <a:srgbClr val="00B0F0"/>
        </a:solidFill>
        <a:effectLst>
          <a:innerShdw blurRad="63500" dist="50800" dir="108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701ACAD0-DE56-40DD-A90F-F6F2E1A3BC3D}" type="TxLink">
            <a:rPr lang="en-US" sz="2000" b="1" i="0" u="none" strike="noStrike">
              <a:solidFill>
                <a:schemeClr val="tx1">
                  <a:lumMod val="95000"/>
                  <a:lumOff val="5000"/>
                </a:schemeClr>
              </a:solidFill>
              <a:latin typeface="Calibri"/>
              <a:ea typeface="Calibri"/>
              <a:cs typeface="Calibri"/>
            </a:rPr>
            <a:pPr algn="r"/>
            <a:t>6.9</a:t>
          </a:fld>
          <a:endParaRPr lang="en-US" sz="2000" b="1">
            <a:solidFill>
              <a:schemeClr val="tx1">
                <a:lumMod val="95000"/>
                <a:lumOff val="5000"/>
              </a:schemeClr>
            </a:solidFill>
          </a:endParaRPr>
        </a:p>
      </xdr:txBody>
    </xdr:sp>
    <xdr:clientData/>
  </xdr:twoCellAnchor>
  <xdr:twoCellAnchor>
    <xdr:from>
      <xdr:col>15</xdr:col>
      <xdr:colOff>74086</xdr:colOff>
      <xdr:row>15</xdr:row>
      <xdr:rowOff>49741</xdr:rowOff>
    </xdr:from>
    <xdr:to>
      <xdr:col>22</xdr:col>
      <xdr:colOff>304048</xdr:colOff>
      <xdr:row>26</xdr:row>
      <xdr:rowOff>21166</xdr:rowOff>
    </xdr:to>
    <xdr:sp macro="" textlink="Q16">
      <xdr:nvSpPr>
        <xdr:cNvPr id="12" name="Rectangle: Rounded Corners 11">
          <a:extLst>
            <a:ext uri="{FF2B5EF4-FFF2-40B4-BE49-F238E27FC236}">
              <a16:creationId xmlns:a16="http://schemas.microsoft.com/office/drawing/2014/main" id="{33981764-DB66-4E87-8472-640CF7E79D0A}"/>
            </a:ext>
          </a:extLst>
        </xdr:cNvPr>
        <xdr:cNvSpPr/>
      </xdr:nvSpPr>
      <xdr:spPr>
        <a:xfrm>
          <a:off x="9281586" y="3171824"/>
          <a:ext cx="4674962" cy="2066925"/>
        </a:xfrm>
        <a:prstGeom prst="roundRect">
          <a:avLst/>
        </a:prstGeom>
        <a:solidFill>
          <a:srgbClr val="FFFF00"/>
        </a:solidFill>
        <a:effectLst>
          <a:innerShdw blurRad="63500" dist="50800" dir="108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BD71DC3E-A948-423B-8059-6773CB8E9C11}" type="TxLink">
            <a:rPr lang="en-US" sz="2000" b="1" i="0" u="none" strike="noStrike">
              <a:solidFill>
                <a:schemeClr val="tx1">
                  <a:lumMod val="95000"/>
                  <a:lumOff val="5000"/>
                </a:schemeClr>
              </a:solidFill>
              <a:latin typeface="Calibri"/>
              <a:ea typeface="Calibri"/>
              <a:cs typeface="Calibri"/>
            </a:rPr>
            <a:pPr algn="r"/>
            <a:t>48.4</a:t>
          </a:fld>
          <a:endParaRPr lang="en-US" sz="2000" b="1">
            <a:solidFill>
              <a:schemeClr val="tx1">
                <a:lumMod val="95000"/>
                <a:lumOff val="5000"/>
              </a:schemeClr>
            </a:solidFill>
          </a:endParaRPr>
        </a:p>
      </xdr:txBody>
    </xdr:sp>
    <xdr:clientData/>
  </xdr:twoCellAnchor>
  <xdr:twoCellAnchor>
    <xdr:from>
      <xdr:col>15</xdr:col>
      <xdr:colOff>52924</xdr:colOff>
      <xdr:row>4</xdr:row>
      <xdr:rowOff>21157</xdr:rowOff>
    </xdr:from>
    <xdr:to>
      <xdr:col>22</xdr:col>
      <xdr:colOff>282886</xdr:colOff>
      <xdr:row>14</xdr:row>
      <xdr:rowOff>183082</xdr:rowOff>
    </xdr:to>
    <xdr:sp macro="" textlink="Q6">
      <xdr:nvSpPr>
        <xdr:cNvPr id="9" name="Rectangle: Rounded Corners 8">
          <a:extLst>
            <a:ext uri="{FF2B5EF4-FFF2-40B4-BE49-F238E27FC236}">
              <a16:creationId xmlns:a16="http://schemas.microsoft.com/office/drawing/2014/main" id="{C0C3B24E-83FE-448F-85F3-5C2F8C63C820}"/>
            </a:ext>
          </a:extLst>
        </xdr:cNvPr>
        <xdr:cNvSpPr/>
      </xdr:nvSpPr>
      <xdr:spPr>
        <a:xfrm>
          <a:off x="9260424" y="1047740"/>
          <a:ext cx="4674962" cy="2066925"/>
        </a:xfrm>
        <a:prstGeom prst="roundRect">
          <a:avLst/>
        </a:prstGeom>
        <a:solidFill>
          <a:srgbClr val="00B050"/>
        </a:solidFill>
        <a:effectLst>
          <a:innerShdw blurRad="63500" dist="50800" dir="108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8213983D-EBA6-413F-9B26-DC9BA4B2FCEE}" type="TxLink">
            <a:rPr lang="en-US" sz="2000" b="1" i="0" u="none" strike="noStrike">
              <a:solidFill>
                <a:schemeClr val="tx1"/>
              </a:solidFill>
              <a:latin typeface="Calibri"/>
              <a:ea typeface="Calibri"/>
              <a:cs typeface="Calibri"/>
            </a:rPr>
            <a:t>56522</a:t>
          </a:fld>
          <a:endParaRPr lang="en-US" sz="4000" b="1">
            <a:solidFill>
              <a:schemeClr val="tx1"/>
            </a:solidFill>
          </a:endParaRPr>
        </a:p>
      </xdr:txBody>
    </xdr:sp>
    <xdr:clientData/>
  </xdr:twoCellAnchor>
  <xdr:twoCellAnchor>
    <xdr:from>
      <xdr:col>7</xdr:col>
      <xdr:colOff>333380</xdr:colOff>
      <xdr:row>3</xdr:row>
      <xdr:rowOff>168265</xdr:rowOff>
    </xdr:from>
    <xdr:to>
      <xdr:col>14</xdr:col>
      <xdr:colOff>563341</xdr:colOff>
      <xdr:row>14</xdr:row>
      <xdr:rowOff>139690</xdr:rowOff>
    </xdr:to>
    <xdr:sp macro="" textlink="I6">
      <xdr:nvSpPr>
        <xdr:cNvPr id="8" name="Rectangle: Rounded Corners 7">
          <a:extLst>
            <a:ext uri="{FF2B5EF4-FFF2-40B4-BE49-F238E27FC236}">
              <a16:creationId xmlns:a16="http://schemas.microsoft.com/office/drawing/2014/main" id="{1AEC3646-64D3-46DE-B450-F6FFCDF425D0}"/>
            </a:ext>
          </a:extLst>
        </xdr:cNvPr>
        <xdr:cNvSpPr/>
      </xdr:nvSpPr>
      <xdr:spPr>
        <a:xfrm>
          <a:off x="4630213" y="1004348"/>
          <a:ext cx="4526795" cy="2066925"/>
        </a:xfrm>
        <a:prstGeom prst="roundRect">
          <a:avLst/>
        </a:prstGeom>
        <a:solidFill>
          <a:schemeClr val="accent6">
            <a:lumMod val="75000"/>
          </a:schemeClr>
        </a:solidFill>
        <a:effectLst>
          <a:innerShdw blurRad="63500" dist="50800" dir="108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B13141F1-9AFF-4B0C-9A0F-B4A7F9E6C055}" type="TxLink">
            <a:rPr lang="en-US" sz="2000" b="1" i="0" u="none" strike="noStrike">
              <a:solidFill>
                <a:schemeClr val="tx1"/>
              </a:solidFill>
              <a:latin typeface="Calibri"/>
              <a:ea typeface="Calibri"/>
              <a:cs typeface="Calibri"/>
            </a:rPr>
            <a:t>221234</a:t>
          </a:fld>
          <a:endParaRPr lang="en-US" sz="4400" b="1">
            <a:solidFill>
              <a:schemeClr val="tx1"/>
            </a:solidFill>
          </a:endParaRPr>
        </a:p>
      </xdr:txBody>
    </xdr:sp>
    <xdr:clientData/>
  </xdr:twoCellAnchor>
  <xdr:twoCellAnchor>
    <xdr:from>
      <xdr:col>0</xdr:col>
      <xdr:colOff>10584</xdr:colOff>
      <xdr:row>3</xdr:row>
      <xdr:rowOff>179907</xdr:rowOff>
    </xdr:from>
    <xdr:to>
      <xdr:col>7</xdr:col>
      <xdr:colOff>240546</xdr:colOff>
      <xdr:row>14</xdr:row>
      <xdr:rowOff>151332</xdr:rowOff>
    </xdr:to>
    <xdr:sp macro="" textlink="A6">
      <xdr:nvSpPr>
        <xdr:cNvPr id="7" name="Rectangle: Rounded Corners 6">
          <a:extLst>
            <a:ext uri="{FF2B5EF4-FFF2-40B4-BE49-F238E27FC236}">
              <a16:creationId xmlns:a16="http://schemas.microsoft.com/office/drawing/2014/main" id="{77785994-F314-4B6A-84FE-C2AF95172FA2}"/>
            </a:ext>
          </a:extLst>
        </xdr:cNvPr>
        <xdr:cNvSpPr/>
      </xdr:nvSpPr>
      <xdr:spPr>
        <a:xfrm>
          <a:off x="10584" y="1015990"/>
          <a:ext cx="4526795" cy="2066925"/>
        </a:xfrm>
        <a:prstGeom prst="roundRect">
          <a:avLst/>
        </a:prstGeom>
        <a:solidFill>
          <a:schemeClr val="tx2">
            <a:lumMod val="60000"/>
            <a:lumOff val="40000"/>
          </a:schemeClr>
        </a:solidFill>
        <a:ln>
          <a:solidFill>
            <a:schemeClr val="accent1">
              <a:shade val="50000"/>
            </a:schemeClr>
          </a:solidFill>
        </a:ln>
        <a:effectLst>
          <a:innerShdw blurRad="63500" dist="50800" dir="108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r"/>
          <a:fld id="{1BBC3B4C-7066-4338-841A-E0B937734363}" type="TxLink">
            <a:rPr lang="en-US" sz="2000" b="1" i="0" u="none" strike="noStrike">
              <a:solidFill>
                <a:srgbClr val="000000"/>
              </a:solidFill>
              <a:latin typeface="Calibri"/>
              <a:ea typeface="Calibri"/>
              <a:cs typeface="Calibri"/>
            </a:rPr>
            <a:t>915</a:t>
          </a:fld>
          <a:endParaRPr lang="en-US" sz="4000" b="1">
            <a:solidFill>
              <a:schemeClr val="tx1">
                <a:lumMod val="95000"/>
                <a:lumOff val="5000"/>
              </a:schemeClr>
            </a:solidFill>
          </a:endParaRPr>
        </a:p>
      </xdr:txBody>
    </xdr:sp>
    <xdr:clientData/>
  </xdr:twoCellAnchor>
  <xdr:twoCellAnchor>
    <xdr:from>
      <xdr:col>1</xdr:col>
      <xdr:colOff>42334</xdr:colOff>
      <xdr:row>4</xdr:row>
      <xdr:rowOff>63500</xdr:rowOff>
    </xdr:from>
    <xdr:to>
      <xdr:col>5</xdr:col>
      <xdr:colOff>255058</xdr:colOff>
      <xdr:row>6</xdr:row>
      <xdr:rowOff>139700</xdr:rowOff>
    </xdr:to>
    <xdr:sp macro="" textlink="">
      <xdr:nvSpPr>
        <xdr:cNvPr id="13" name="TextBox 12">
          <a:extLst>
            <a:ext uri="{FF2B5EF4-FFF2-40B4-BE49-F238E27FC236}">
              <a16:creationId xmlns:a16="http://schemas.microsoft.com/office/drawing/2014/main" id="{2F3BBE6D-2E3D-4E69-9A20-94EFE0644B0A}"/>
            </a:ext>
          </a:extLst>
        </xdr:cNvPr>
        <xdr:cNvSpPr txBox="1"/>
      </xdr:nvSpPr>
      <xdr:spPr>
        <a:xfrm>
          <a:off x="656167" y="1090083"/>
          <a:ext cx="2668058" cy="457200"/>
        </a:xfrm>
        <a:prstGeom prst="rect">
          <a:avLst/>
        </a:prstGeom>
        <a:solidFill>
          <a:schemeClr val="tx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Total Workout Minutes</a:t>
          </a:r>
        </a:p>
      </xdr:txBody>
    </xdr:sp>
    <xdr:clientData/>
  </xdr:twoCellAnchor>
  <xdr:twoCellAnchor>
    <xdr:from>
      <xdr:col>10</xdr:col>
      <xdr:colOff>116417</xdr:colOff>
      <xdr:row>4</xdr:row>
      <xdr:rowOff>21166</xdr:rowOff>
    </xdr:from>
    <xdr:to>
      <xdr:col>12</xdr:col>
      <xdr:colOff>243417</xdr:colOff>
      <xdr:row>6</xdr:row>
      <xdr:rowOff>97366</xdr:rowOff>
    </xdr:to>
    <xdr:sp macro="" textlink="">
      <xdr:nvSpPr>
        <xdr:cNvPr id="14" name="TextBox 13">
          <a:extLst>
            <a:ext uri="{FF2B5EF4-FFF2-40B4-BE49-F238E27FC236}">
              <a16:creationId xmlns:a16="http://schemas.microsoft.com/office/drawing/2014/main" id="{2F32A1BA-CB3D-4E9B-A286-044E31A68E30}"/>
            </a:ext>
          </a:extLst>
        </xdr:cNvPr>
        <xdr:cNvSpPr txBox="1"/>
      </xdr:nvSpPr>
      <xdr:spPr>
        <a:xfrm>
          <a:off x="6254750" y="1047749"/>
          <a:ext cx="1354667" cy="45720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Total Steps</a:t>
          </a:r>
        </a:p>
      </xdr:txBody>
    </xdr:sp>
    <xdr:clientData/>
  </xdr:twoCellAnchor>
  <xdr:twoCellAnchor>
    <xdr:from>
      <xdr:col>17</xdr:col>
      <xdr:colOff>0</xdr:colOff>
      <xdr:row>4</xdr:row>
      <xdr:rowOff>95250</xdr:rowOff>
    </xdr:from>
    <xdr:to>
      <xdr:col>20</xdr:col>
      <xdr:colOff>75141</xdr:colOff>
      <xdr:row>6</xdr:row>
      <xdr:rowOff>76200</xdr:rowOff>
    </xdr:to>
    <xdr:sp macro="" textlink="">
      <xdr:nvSpPr>
        <xdr:cNvPr id="15" name="TextBox 14">
          <a:extLst>
            <a:ext uri="{FF2B5EF4-FFF2-40B4-BE49-F238E27FC236}">
              <a16:creationId xmlns:a16="http://schemas.microsoft.com/office/drawing/2014/main" id="{923E107F-C109-459A-B1BD-4E68C8BA2B22}"/>
            </a:ext>
          </a:extLst>
        </xdr:cNvPr>
        <xdr:cNvSpPr txBox="1"/>
      </xdr:nvSpPr>
      <xdr:spPr>
        <a:xfrm>
          <a:off x="10519833" y="1121833"/>
          <a:ext cx="1980141" cy="36195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Calories Burned</a:t>
          </a:r>
        </a:p>
      </xdr:txBody>
    </xdr:sp>
    <xdr:clientData/>
  </xdr:twoCellAnchor>
  <xdr:twoCellAnchor>
    <xdr:from>
      <xdr:col>16</xdr:col>
      <xdr:colOff>64559</xdr:colOff>
      <xdr:row>16</xdr:row>
      <xdr:rowOff>0</xdr:rowOff>
    </xdr:from>
    <xdr:to>
      <xdr:col>21</xdr:col>
      <xdr:colOff>0</xdr:colOff>
      <xdr:row>17</xdr:row>
      <xdr:rowOff>148166</xdr:rowOff>
    </xdr:to>
    <xdr:sp macro="" textlink="">
      <xdr:nvSpPr>
        <xdr:cNvPr id="16" name="TextBox 15">
          <a:extLst>
            <a:ext uri="{FF2B5EF4-FFF2-40B4-BE49-F238E27FC236}">
              <a16:creationId xmlns:a16="http://schemas.microsoft.com/office/drawing/2014/main" id="{A5A0E45F-2C10-4702-A916-A3F7455C0031}"/>
            </a:ext>
          </a:extLst>
        </xdr:cNvPr>
        <xdr:cNvSpPr txBox="1"/>
      </xdr:nvSpPr>
      <xdr:spPr>
        <a:xfrm>
          <a:off x="9885892" y="3312583"/>
          <a:ext cx="3152775" cy="33866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Habit Complition Rate (%)</a:t>
          </a:r>
        </a:p>
      </xdr:txBody>
    </xdr:sp>
    <xdr:clientData/>
  </xdr:twoCellAnchor>
  <xdr:twoCellAnchor>
    <xdr:from>
      <xdr:col>9</xdr:col>
      <xdr:colOff>210610</xdr:colOff>
      <xdr:row>15</xdr:row>
      <xdr:rowOff>114300</xdr:rowOff>
    </xdr:from>
    <xdr:to>
      <xdr:col>13</xdr:col>
      <xdr:colOff>0</xdr:colOff>
      <xdr:row>18</xdr:row>
      <xdr:rowOff>0</xdr:rowOff>
    </xdr:to>
    <xdr:sp macro="" textlink="">
      <xdr:nvSpPr>
        <xdr:cNvPr id="17" name="TextBox 16">
          <a:extLst>
            <a:ext uri="{FF2B5EF4-FFF2-40B4-BE49-F238E27FC236}">
              <a16:creationId xmlns:a16="http://schemas.microsoft.com/office/drawing/2014/main" id="{93C0BCB9-C734-497C-9B46-786F521C95BE}"/>
            </a:ext>
          </a:extLst>
        </xdr:cNvPr>
        <xdr:cNvSpPr txBox="1"/>
      </xdr:nvSpPr>
      <xdr:spPr>
        <a:xfrm>
          <a:off x="5735110" y="3236383"/>
          <a:ext cx="2244723" cy="457200"/>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Average Sleep (hrs)</a:t>
          </a:r>
        </a:p>
      </xdr:txBody>
    </xdr:sp>
    <xdr:clientData/>
  </xdr:twoCellAnchor>
  <xdr:twoCellAnchor>
    <xdr:from>
      <xdr:col>1</xdr:col>
      <xdr:colOff>275167</xdr:colOff>
      <xdr:row>15</xdr:row>
      <xdr:rowOff>114300</xdr:rowOff>
    </xdr:from>
    <xdr:to>
      <xdr:col>5</xdr:col>
      <xdr:colOff>180974</xdr:colOff>
      <xdr:row>18</xdr:row>
      <xdr:rowOff>0</xdr:rowOff>
    </xdr:to>
    <xdr:sp macro="" textlink="">
      <xdr:nvSpPr>
        <xdr:cNvPr id="18" name="TextBox 17">
          <a:extLst>
            <a:ext uri="{FF2B5EF4-FFF2-40B4-BE49-F238E27FC236}">
              <a16:creationId xmlns:a16="http://schemas.microsoft.com/office/drawing/2014/main" id="{1F3ADE3E-4141-4119-AF35-0F6FE4915CB1}"/>
            </a:ext>
          </a:extLst>
        </xdr:cNvPr>
        <xdr:cNvSpPr txBox="1"/>
      </xdr:nvSpPr>
      <xdr:spPr>
        <a:xfrm>
          <a:off x="889000" y="3236383"/>
          <a:ext cx="2361141" cy="457200"/>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Water Intake (L)	</a:t>
          </a:r>
        </a:p>
      </xdr:txBody>
    </xdr:sp>
    <xdr:clientData/>
  </xdr:twoCellAnchor>
  <xdr:twoCellAnchor>
    <xdr:from>
      <xdr:col>0</xdr:col>
      <xdr:colOff>126999</xdr:colOff>
      <xdr:row>18</xdr:row>
      <xdr:rowOff>0</xdr:rowOff>
    </xdr:from>
    <xdr:to>
      <xdr:col>7</xdr:col>
      <xdr:colOff>0</xdr:colOff>
      <xdr:row>25</xdr:row>
      <xdr:rowOff>120650</xdr:rowOff>
    </xdr:to>
    <xdr:graphicFrame macro="">
      <xdr:nvGraphicFramePr>
        <xdr:cNvPr id="2" name="Chart 1">
          <a:extLst>
            <a:ext uri="{FF2B5EF4-FFF2-40B4-BE49-F238E27FC236}">
              <a16:creationId xmlns:a16="http://schemas.microsoft.com/office/drawing/2014/main" id="{F72AEACD-83F4-415A-A01E-EAE9B9FB9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6</xdr:row>
      <xdr:rowOff>28574</xdr:rowOff>
    </xdr:from>
    <xdr:to>
      <xdr:col>6</xdr:col>
      <xdr:colOff>379941</xdr:colOff>
      <xdr:row>14</xdr:row>
      <xdr:rowOff>21166</xdr:rowOff>
    </xdr:to>
    <xdr:graphicFrame macro="">
      <xdr:nvGraphicFramePr>
        <xdr:cNvPr id="3" name="Chart 4">
          <a:extLst>
            <a:ext uri="{FF2B5EF4-FFF2-40B4-BE49-F238E27FC236}">
              <a16:creationId xmlns:a16="http://schemas.microsoft.com/office/drawing/2014/main" id="{3621608D-1C8C-41BE-80DA-3CF218FAF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6</xdr:row>
      <xdr:rowOff>135467</xdr:rowOff>
    </xdr:from>
    <xdr:to>
      <xdr:col>14</xdr:col>
      <xdr:colOff>423333</xdr:colOff>
      <xdr:row>14</xdr:row>
      <xdr:rowOff>31750</xdr:rowOff>
    </xdr:to>
    <xdr:graphicFrame macro="">
      <xdr:nvGraphicFramePr>
        <xdr:cNvPr id="4" name="Chart 2">
          <a:extLst>
            <a:ext uri="{FF2B5EF4-FFF2-40B4-BE49-F238E27FC236}">
              <a16:creationId xmlns:a16="http://schemas.microsoft.com/office/drawing/2014/main" id="{5B7E4ADF-7C04-438F-A1D8-3E6CF8BDA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218017</xdr:colOff>
      <xdr:row>7</xdr:row>
      <xdr:rowOff>0</xdr:rowOff>
    </xdr:from>
    <xdr:to>
      <xdr:col>22</xdr:col>
      <xdr:colOff>0</xdr:colOff>
      <xdr:row>14</xdr:row>
      <xdr:rowOff>58209</xdr:rowOff>
    </xdr:to>
    <xdr:graphicFrame macro="">
      <xdr:nvGraphicFramePr>
        <xdr:cNvPr id="5" name="Chart 2">
          <a:extLst>
            <a:ext uri="{FF2B5EF4-FFF2-40B4-BE49-F238E27FC236}">
              <a16:creationId xmlns:a16="http://schemas.microsoft.com/office/drawing/2014/main" id="{B89B2624-6CA7-4F12-B48E-2E8AA7A65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17</xdr:row>
      <xdr:rowOff>130175</xdr:rowOff>
    </xdr:from>
    <xdr:to>
      <xdr:col>14</xdr:col>
      <xdr:colOff>296333</xdr:colOff>
      <xdr:row>25</xdr:row>
      <xdr:rowOff>158750</xdr:rowOff>
    </xdr:to>
    <xdr:graphicFrame macro="">
      <xdr:nvGraphicFramePr>
        <xdr:cNvPr id="6" name="Chart 2">
          <a:extLst>
            <a:ext uri="{FF2B5EF4-FFF2-40B4-BE49-F238E27FC236}">
              <a16:creationId xmlns:a16="http://schemas.microsoft.com/office/drawing/2014/main" id="{793E66D8-520E-4C02-A549-059F74883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317499</xdr:colOff>
      <xdr:row>17</xdr:row>
      <xdr:rowOff>186268</xdr:rowOff>
    </xdr:from>
    <xdr:to>
      <xdr:col>22</xdr:col>
      <xdr:colOff>179916</xdr:colOff>
      <xdr:row>26</xdr:row>
      <xdr:rowOff>0</xdr:rowOff>
    </xdr:to>
    <xdr:graphicFrame macro="">
      <xdr:nvGraphicFramePr>
        <xdr:cNvPr id="19" name="Chart 4">
          <a:extLst>
            <a:ext uri="{FF2B5EF4-FFF2-40B4-BE49-F238E27FC236}">
              <a16:creationId xmlns:a16="http://schemas.microsoft.com/office/drawing/2014/main" id="{AC46A7FE-7EDE-4ED8-A993-C89C5715A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63500</xdr:rowOff>
    </xdr:from>
    <xdr:to>
      <xdr:col>23</xdr:col>
      <xdr:colOff>0</xdr:colOff>
      <xdr:row>3</xdr:row>
      <xdr:rowOff>120649</xdr:rowOff>
    </xdr:to>
    <mc:AlternateContent xmlns:mc="http://schemas.openxmlformats.org/markup-compatibility/2006">
      <mc:Choice xmlns:a14="http://schemas.microsoft.com/office/drawing/2010/main" Requires="a14">
        <xdr:graphicFrame macro="">
          <xdr:nvGraphicFramePr>
            <xdr:cNvPr id="20" name="Date">
              <a:extLst>
                <a:ext uri="{FF2B5EF4-FFF2-40B4-BE49-F238E27FC236}">
                  <a16:creationId xmlns:a16="http://schemas.microsoft.com/office/drawing/2014/main" id="{41F59363-EA62-417C-B39D-6121BFF39D4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0" y="515938"/>
              <a:ext cx="14120813" cy="438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jeero" refreshedDate="45985.552088310185" createdVersion="7" refreshedVersion="7" minRefreshableVersion="3" recordCount="60" xr:uid="{375855BE-169C-4260-9C53-9BB4D64FAD1A}">
  <cacheSource type="worksheet">
    <worksheetSource ref="A1:J61" sheet="Cleaned_Data"/>
  </cacheSource>
  <cacheFields count="10">
    <cacheField name="Date" numFmtId="14">
      <sharedItems containsSemiMixedTypes="0" containsNonDate="0" containsDate="1" containsString="0" minDate="2025-01-01T00:00:00" maxDate="2025-03-02T00:00:00" count="6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sharedItems>
      <fieldGroup base="0">
        <rangePr groupBy="months" startDate="2025-01-01T00:00:00" endDate="2025-03-02T00:00:00"/>
        <groupItems count="14">
          <s v="&lt;01-01-2025"/>
          <s v="Jan"/>
          <s v="Feb"/>
          <s v="Mar"/>
          <s v="Apr"/>
          <s v="May"/>
          <s v="Jun"/>
          <s v="Jul"/>
          <s v="Aug"/>
          <s v="Sep"/>
          <s v="Oct"/>
          <s v="Nov"/>
          <s v="Dec"/>
          <s v="&gt;02-03-2025"/>
        </groupItems>
      </fieldGroup>
    </cacheField>
    <cacheField name="Workout (min)" numFmtId="1">
      <sharedItems containsSemiMixedTypes="0" containsString="0" containsNumber="1" containsInteger="1" minValue="0" maxValue="60"/>
    </cacheField>
    <cacheField name="Steps" numFmtId="1">
      <sharedItems containsSemiMixedTypes="0" containsString="0" containsNumber="1" containsInteger="1" minValue="2466" maxValue="11784"/>
    </cacheField>
    <cacheField name="Calories Burned" numFmtId="1">
      <sharedItems containsSemiMixedTypes="0" containsString="0" containsNumber="1" containsInteger="1" minValue="1211" maxValue="2456"/>
    </cacheField>
    <cacheField name="Water Intake (L)" numFmtId="165">
      <sharedItems containsSemiMixedTypes="0" containsString="0" containsNumber="1" minValue="1.6" maxValue="4" count="24">
        <n v="4"/>
        <n v="3.3"/>
        <n v="1.8"/>
        <n v="1.6"/>
        <n v="2.7"/>
        <n v="3.6"/>
        <n v="1.7"/>
        <n v="3.7"/>
        <n v="2.4"/>
        <n v="2"/>
        <n v="3.4"/>
        <n v="2.9"/>
        <n v="2.8"/>
        <n v="3.5"/>
        <n v="2.5"/>
        <n v="2.1"/>
        <n v="2.2000000000000002"/>
        <n v="2.6"/>
        <n v="3"/>
        <n v="3.9"/>
        <n v="1.9"/>
        <n v="3.2"/>
        <n v="3.8"/>
        <n v="3.1"/>
      </sharedItems>
    </cacheField>
    <cacheField name="Sleep (hrs)" numFmtId="165">
      <sharedItems containsSemiMixedTypes="0" containsString="0" containsNumber="1" minValue="5.5" maxValue="8.5"/>
    </cacheField>
    <cacheField name="Habit Completed" numFmtId="49">
      <sharedItems count="2">
        <s v="Yes"/>
        <s v="No"/>
      </sharedItems>
    </cacheField>
    <cacheField name="Week" numFmtId="0">
      <sharedItems containsNonDate="0" containsString="0" containsBlank="1"/>
    </cacheField>
    <cacheField name="Month" numFmtId="0">
      <sharedItems containsNonDate="0" containsString="0" containsBlank="1"/>
    </cacheField>
    <cacheField name="Day" numFmtId="0">
      <sharedItems containsNonDate="0" containsString="0" containsBlank="1"/>
    </cacheField>
  </cacheFields>
  <extLst>
    <ext xmlns:x14="http://schemas.microsoft.com/office/spreadsheetml/2009/9/main" uri="{725AE2AE-9491-48be-B2B4-4EB974FC3084}">
      <x14:pivotCacheDefinition pivotCacheId="880524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n v="45"/>
    <n v="10758"/>
    <n v="1850"/>
    <x v="0"/>
    <n v="6.2"/>
    <x v="0"/>
    <m/>
    <m/>
    <m/>
  </r>
  <r>
    <x v="1"/>
    <n v="0"/>
    <n v="3056"/>
    <n v="2408"/>
    <x v="1"/>
    <n v="7.3"/>
    <x v="0"/>
    <m/>
    <m/>
    <m/>
  </r>
  <r>
    <x v="2"/>
    <n v="60"/>
    <n v="3461"/>
    <n v="1625"/>
    <x v="2"/>
    <n v="8.5"/>
    <x v="0"/>
    <m/>
    <m/>
    <m/>
  </r>
  <r>
    <x v="3"/>
    <n v="20"/>
    <n v="3467"/>
    <n v="2289"/>
    <x v="3"/>
    <n v="8"/>
    <x v="1"/>
    <m/>
    <m/>
    <m/>
  </r>
  <r>
    <x v="4"/>
    <n v="45"/>
    <n v="8211"/>
    <n v="2034"/>
    <x v="4"/>
    <n v="6.7"/>
    <x v="1"/>
    <m/>
    <m/>
    <m/>
  </r>
  <r>
    <x v="5"/>
    <n v="30"/>
    <n v="9383"/>
    <n v="1369"/>
    <x v="5"/>
    <n v="8.3000000000000007"/>
    <x v="0"/>
    <m/>
    <m/>
    <m/>
  </r>
  <r>
    <x v="6"/>
    <n v="20"/>
    <n v="9833"/>
    <n v="1584"/>
    <x v="6"/>
    <n v="7.1"/>
    <x v="0"/>
    <m/>
    <m/>
    <m/>
  </r>
  <r>
    <x v="7"/>
    <n v="60"/>
    <n v="3595"/>
    <n v="1519"/>
    <x v="7"/>
    <n v="7.3"/>
    <x v="1"/>
    <m/>
    <m/>
    <m/>
  </r>
  <r>
    <x v="8"/>
    <n v="45"/>
    <n v="6862"/>
    <n v="1258"/>
    <x v="8"/>
    <n v="7.1"/>
    <x v="0"/>
    <m/>
    <m/>
    <m/>
  </r>
  <r>
    <x v="9"/>
    <n v="60"/>
    <n v="6826"/>
    <n v="1933"/>
    <x v="9"/>
    <n v="6.5"/>
    <x v="0"/>
    <m/>
    <m/>
    <m/>
  </r>
  <r>
    <x v="10"/>
    <n v="30"/>
    <n v="10988"/>
    <n v="1416"/>
    <x v="10"/>
    <n v="6.1"/>
    <x v="0"/>
    <m/>
    <m/>
    <m/>
  </r>
  <r>
    <x v="11"/>
    <n v="30"/>
    <n v="7839"/>
    <n v="2096"/>
    <x v="11"/>
    <n v="7.2"/>
    <x v="0"/>
    <m/>
    <m/>
    <m/>
  </r>
  <r>
    <x v="12"/>
    <n v="30"/>
    <n v="7130"/>
    <n v="1312"/>
    <x v="5"/>
    <n v="5.6"/>
    <x v="1"/>
    <m/>
    <m/>
    <m/>
  </r>
  <r>
    <x v="13"/>
    <n v="0"/>
    <n v="6866"/>
    <n v="1580"/>
    <x v="12"/>
    <n v="7.1"/>
    <x v="1"/>
    <m/>
    <m/>
    <m/>
  </r>
  <r>
    <x v="14"/>
    <n v="20"/>
    <n v="2466"/>
    <n v="1974"/>
    <x v="13"/>
    <n v="7.4"/>
    <x v="1"/>
    <m/>
    <m/>
    <m/>
  </r>
  <r>
    <x v="15"/>
    <n v="30"/>
    <n v="11784"/>
    <n v="1395"/>
    <x v="14"/>
    <n v="7.8"/>
    <x v="1"/>
    <m/>
    <m/>
    <m/>
  </r>
  <r>
    <x v="16"/>
    <n v="45"/>
    <n v="5239"/>
    <n v="2398"/>
    <x v="15"/>
    <n v="6.8"/>
    <x v="0"/>
    <m/>
    <m/>
    <m/>
  </r>
  <r>
    <x v="17"/>
    <n v="0"/>
    <n v="6436"/>
    <n v="2204"/>
    <x v="12"/>
    <n v="7.7"/>
    <x v="1"/>
    <m/>
    <m/>
    <m/>
  </r>
  <r>
    <x v="18"/>
    <n v="60"/>
    <n v="4685"/>
    <n v="2091"/>
    <x v="16"/>
    <n v="5.7"/>
    <x v="1"/>
    <m/>
    <m/>
    <m/>
  </r>
  <r>
    <x v="19"/>
    <n v="20"/>
    <n v="4227"/>
    <n v="1400"/>
    <x v="17"/>
    <n v="7.9"/>
    <x v="1"/>
    <m/>
    <m/>
    <m/>
  </r>
  <r>
    <x v="20"/>
    <n v="0"/>
    <n v="4453"/>
    <n v="1564"/>
    <x v="9"/>
    <n v="6.6"/>
    <x v="0"/>
    <m/>
    <m/>
    <m/>
  </r>
  <r>
    <x v="21"/>
    <n v="60"/>
    <n v="9722"/>
    <n v="1339"/>
    <x v="5"/>
    <n v="6"/>
    <x v="1"/>
    <m/>
    <m/>
    <m/>
  </r>
  <r>
    <x v="22"/>
    <n v="45"/>
    <n v="3432"/>
    <n v="2456"/>
    <x v="12"/>
    <n v="7.1"/>
    <x v="1"/>
    <m/>
    <m/>
    <m/>
  </r>
  <r>
    <x v="23"/>
    <n v="60"/>
    <n v="4656"/>
    <n v="2282"/>
    <x v="2"/>
    <n v="6.3"/>
    <x v="1"/>
    <m/>
    <m/>
    <m/>
  </r>
  <r>
    <x v="24"/>
    <n v="0"/>
    <n v="7671"/>
    <n v="1404"/>
    <x v="15"/>
    <n v="7"/>
    <x v="0"/>
    <m/>
    <m/>
    <m/>
  </r>
  <r>
    <x v="25"/>
    <n v="20"/>
    <n v="7166"/>
    <n v="2149"/>
    <x v="18"/>
    <n v="6.1"/>
    <x v="0"/>
    <m/>
    <m/>
    <m/>
  </r>
  <r>
    <x v="26"/>
    <n v="20"/>
    <n v="11704"/>
    <n v="2303"/>
    <x v="18"/>
    <n v="6.6"/>
    <x v="0"/>
    <m/>
    <m/>
    <m/>
  </r>
  <r>
    <x v="27"/>
    <n v="30"/>
    <n v="8170"/>
    <n v="1433"/>
    <x v="11"/>
    <n v="7.8"/>
    <x v="1"/>
    <m/>
    <m/>
    <m/>
  </r>
  <r>
    <x v="28"/>
    <n v="0"/>
    <n v="10773"/>
    <n v="2437"/>
    <x v="12"/>
    <n v="8.4"/>
    <x v="1"/>
    <m/>
    <m/>
    <m/>
  </r>
  <r>
    <x v="29"/>
    <n v="30"/>
    <n v="10474"/>
    <n v="2138"/>
    <x v="0"/>
    <n v="5.8"/>
    <x v="0"/>
    <m/>
    <m/>
    <m/>
  </r>
  <r>
    <x v="30"/>
    <n v="0"/>
    <n v="9901"/>
    <n v="1282"/>
    <x v="19"/>
    <n v="6.2"/>
    <x v="0"/>
    <m/>
    <m/>
    <m/>
  </r>
  <r>
    <x v="31"/>
    <n v="0"/>
    <n v="7826"/>
    <n v="2375"/>
    <x v="5"/>
    <n v="6.2"/>
    <x v="0"/>
    <m/>
    <m/>
    <m/>
  </r>
  <r>
    <x v="32"/>
    <n v="20"/>
    <n v="8673"/>
    <n v="2410"/>
    <x v="12"/>
    <n v="7.1"/>
    <x v="0"/>
    <m/>
    <m/>
    <m/>
  </r>
  <r>
    <x v="33"/>
    <n v="0"/>
    <n v="7180"/>
    <n v="2246"/>
    <x v="1"/>
    <n v="8"/>
    <x v="1"/>
    <m/>
    <m/>
    <m/>
  </r>
  <r>
    <x v="34"/>
    <n v="20"/>
    <n v="9338"/>
    <n v="1968"/>
    <x v="16"/>
    <n v="6.3"/>
    <x v="0"/>
    <m/>
    <m/>
    <m/>
  </r>
  <r>
    <x v="35"/>
    <n v="30"/>
    <n v="11235"/>
    <n v="1257"/>
    <x v="16"/>
    <n v="7.1"/>
    <x v="0"/>
    <m/>
    <m/>
    <m/>
  </r>
  <r>
    <x v="36"/>
    <n v="0"/>
    <n v="8809"/>
    <n v="1965"/>
    <x v="10"/>
    <n v="5.5"/>
    <x v="1"/>
    <m/>
    <m/>
    <m/>
  </r>
  <r>
    <x v="37"/>
    <n v="0"/>
    <n v="10036"/>
    <n v="2102"/>
    <x v="11"/>
    <n v="6.4"/>
    <x v="0"/>
    <m/>
    <m/>
    <m/>
  </r>
  <r>
    <x v="38"/>
    <n v="20"/>
    <n v="9663"/>
    <n v="1787"/>
    <x v="20"/>
    <n v="7"/>
    <x v="1"/>
    <m/>
    <m/>
    <m/>
  </r>
  <r>
    <x v="39"/>
    <n v="0"/>
    <n v="5554"/>
    <n v="1936"/>
    <x v="19"/>
    <n v="6.9"/>
    <x v="1"/>
    <m/>
    <m/>
    <m/>
  </r>
  <r>
    <x v="40"/>
    <n v="20"/>
    <n v="11440"/>
    <n v="1753"/>
    <x v="12"/>
    <n v="6"/>
    <x v="0"/>
    <m/>
    <m/>
    <m/>
  </r>
  <r>
    <x v="41"/>
    <n v="30"/>
    <n v="8873"/>
    <n v="2412"/>
    <x v="6"/>
    <n v="7"/>
    <x v="1"/>
    <m/>
    <m/>
    <m/>
  </r>
  <r>
    <x v="42"/>
    <n v="60"/>
    <n v="3015"/>
    <n v="1646"/>
    <x v="21"/>
    <n v="8.1999999999999993"/>
    <x v="1"/>
    <m/>
    <m/>
    <m/>
  </r>
  <r>
    <x v="43"/>
    <n v="20"/>
    <n v="5180"/>
    <n v="2291"/>
    <x v="21"/>
    <n v="6.2"/>
    <x v="1"/>
    <m/>
    <m/>
    <m/>
  </r>
  <r>
    <x v="44"/>
    <n v="30"/>
    <n v="10042"/>
    <n v="1748"/>
    <x v="2"/>
    <n v="8.4"/>
    <x v="0"/>
    <m/>
    <m/>
    <m/>
  </r>
  <r>
    <x v="45"/>
    <n v="60"/>
    <n v="8537"/>
    <n v="1301"/>
    <x v="22"/>
    <n v="5.8"/>
    <x v="1"/>
    <m/>
    <m/>
    <m/>
  </r>
  <r>
    <x v="46"/>
    <n v="0"/>
    <n v="6851"/>
    <n v="1863"/>
    <x v="7"/>
    <n v="5.7"/>
    <x v="1"/>
    <m/>
    <m/>
    <m/>
  </r>
  <r>
    <x v="47"/>
    <n v="0"/>
    <n v="9016"/>
    <n v="2273"/>
    <x v="1"/>
    <n v="7.6"/>
    <x v="0"/>
    <m/>
    <m/>
    <m/>
  </r>
  <r>
    <x v="48"/>
    <n v="45"/>
    <n v="3678"/>
    <n v="1305"/>
    <x v="7"/>
    <n v="8.4"/>
    <x v="0"/>
    <m/>
    <m/>
    <m/>
  </r>
  <r>
    <x v="49"/>
    <n v="0"/>
    <n v="7117"/>
    <n v="1371"/>
    <x v="0"/>
    <n v="6.7"/>
    <x v="0"/>
    <m/>
    <m/>
    <m/>
  </r>
  <r>
    <x v="50"/>
    <n v="60"/>
    <n v="7569"/>
    <n v="1404"/>
    <x v="23"/>
    <n v="7.8"/>
    <x v="0"/>
    <m/>
    <m/>
    <m/>
  </r>
  <r>
    <x v="51"/>
    <n v="0"/>
    <n v="7928"/>
    <n v="2272"/>
    <x v="9"/>
    <n v="6"/>
    <x v="1"/>
    <m/>
    <m/>
    <m/>
  </r>
  <r>
    <x v="52"/>
    <n v="30"/>
    <n v="3374"/>
    <n v="1422"/>
    <x v="2"/>
    <n v="6.2"/>
    <x v="0"/>
    <m/>
    <m/>
    <m/>
  </r>
  <r>
    <x v="53"/>
    <n v="0"/>
    <n v="6284"/>
    <n v="1844"/>
    <x v="15"/>
    <n v="6.5"/>
    <x v="0"/>
    <m/>
    <m/>
    <m/>
  </r>
  <r>
    <x v="54"/>
    <n v="20"/>
    <n v="4839"/>
    <n v="1913"/>
    <x v="7"/>
    <n v="7.3"/>
    <x v="0"/>
    <m/>
    <m/>
    <m/>
  </r>
  <r>
    <x v="55"/>
    <n v="45"/>
    <n v="8095"/>
    <n v="1211"/>
    <x v="20"/>
    <n v="8.3000000000000007"/>
    <x v="1"/>
    <m/>
    <m/>
    <m/>
  </r>
  <r>
    <x v="56"/>
    <n v="60"/>
    <n v="5896"/>
    <n v="2270"/>
    <x v="4"/>
    <n v="6.2"/>
    <x v="0"/>
    <m/>
    <m/>
    <m/>
  </r>
  <r>
    <x v="57"/>
    <n v="30"/>
    <n v="7519"/>
    <n v="1872"/>
    <x v="22"/>
    <n v="8.5"/>
    <x v="1"/>
    <m/>
    <m/>
    <m/>
  </r>
  <r>
    <x v="58"/>
    <n v="20"/>
    <n v="8497"/>
    <n v="1920"/>
    <x v="2"/>
    <n v="5.6"/>
    <x v="1"/>
    <m/>
    <m/>
    <m/>
  </r>
  <r>
    <x v="59"/>
    <n v="45"/>
    <n v="2775"/>
    <n v="1608"/>
    <x v="12"/>
    <n v="7.3"/>
    <x v="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2AAFE5-F832-4DFA-BF5D-7962C5FB6C6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5" firstHeaderRow="1" firstDataRow="1" firstDataCol="1"/>
  <pivotFields count="10">
    <pivotField axis="axisRow" numFmtId="14" showAll="0">
      <items count="15">
        <item h="1" x="0"/>
        <item x="1"/>
        <item h="1" x="2"/>
        <item h="1" x="3"/>
        <item h="1" x="4"/>
        <item h="1" x="5"/>
        <item h="1" x="6"/>
        <item h="1" x="7"/>
        <item h="1" x="8"/>
        <item h="1" x="9"/>
        <item h="1" x="10"/>
        <item h="1" x="11"/>
        <item h="1" x="12"/>
        <item h="1" x="13"/>
        <item t="default"/>
      </items>
    </pivotField>
    <pivotField dataField="1" numFmtId="1" showAll="0"/>
    <pivotField numFmtId="1" showAll="0"/>
    <pivotField numFmtId="1" showAll="0"/>
    <pivotField numFmtId="165" showAll="0"/>
    <pivotField numFmtId="165" showAll="0"/>
    <pivotField showAll="0"/>
    <pivotField showAll="0"/>
    <pivotField showAll="0"/>
    <pivotField showAll="0"/>
  </pivotFields>
  <rowFields count="1">
    <field x="0"/>
  </rowFields>
  <rowItems count="2">
    <i>
      <x v="1"/>
    </i>
    <i t="grand">
      <x/>
    </i>
  </rowItems>
  <colItems count="1">
    <i/>
  </colItems>
  <dataFields count="1">
    <dataField name="Sum of Workout (min)" fld="1" baseField="0" baseItem="0"/>
  </dataFields>
  <chartFormats count="3">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0" count="1" selected="0">
            <x v="2"/>
          </reference>
        </references>
      </pivotArea>
    </chartFormat>
    <chartFormat chart="7" format="3">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D6E619-EE1E-46CC-A978-5ACBBD364DF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5" firstHeaderRow="1" firstDataRow="1" firstDataCol="1"/>
  <pivotFields count="10">
    <pivotField axis="axisRow" numFmtId="14" showAll="0">
      <items count="15">
        <item h="1" x="0"/>
        <item x="1"/>
        <item h="1" x="2"/>
        <item h="1" x="3"/>
        <item h="1" x="4"/>
        <item h="1" x="5"/>
        <item h="1" x="6"/>
        <item h="1" x="7"/>
        <item h="1" x="8"/>
        <item h="1" x="9"/>
        <item h="1" x="10"/>
        <item h="1" x="11"/>
        <item h="1" x="12"/>
        <item h="1" x="13"/>
        <item t="default"/>
      </items>
    </pivotField>
    <pivotField numFmtId="1" showAll="0"/>
    <pivotField dataField="1" numFmtId="1" showAll="0"/>
    <pivotField numFmtId="1" showAll="0"/>
    <pivotField numFmtId="165" showAll="0"/>
    <pivotField numFmtId="165" showAll="0"/>
    <pivotField showAll="0"/>
    <pivotField showAll="0"/>
    <pivotField showAll="0"/>
    <pivotField showAll="0"/>
  </pivotFields>
  <rowFields count="1">
    <field x="0"/>
  </rowFields>
  <rowItems count="2">
    <i>
      <x v="1"/>
    </i>
    <i t="grand">
      <x/>
    </i>
  </rowItems>
  <colItems count="1">
    <i/>
  </colItems>
  <dataFields count="1">
    <dataField name="Sum of Steps" fld="2" baseField="0" baseItem="0"/>
  </dataFields>
  <chartFormats count="2">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70FC7D-9980-4AA0-9009-23330CCCA01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5" firstHeaderRow="1" firstDataRow="1" firstDataCol="1"/>
  <pivotFields count="10">
    <pivotField axis="axisRow" numFmtId="14" showAll="0">
      <items count="15">
        <item h="1" x="0"/>
        <item x="1"/>
        <item h="1" x="2"/>
        <item h="1" x="3"/>
        <item h="1" x="4"/>
        <item h="1" x="5"/>
        <item h="1" x="6"/>
        <item h="1" x="7"/>
        <item h="1" x="8"/>
        <item h="1" x="9"/>
        <item h="1" x="10"/>
        <item h="1" x="11"/>
        <item h="1" x="12"/>
        <item h="1" x="13"/>
        <item t="default"/>
      </items>
    </pivotField>
    <pivotField numFmtId="1" showAll="0"/>
    <pivotField numFmtId="1" showAll="0"/>
    <pivotField dataField="1" numFmtId="1" showAll="0"/>
    <pivotField numFmtId="165" showAll="0"/>
    <pivotField numFmtId="165" showAll="0"/>
    <pivotField showAll="0"/>
    <pivotField showAll="0"/>
    <pivotField showAll="0"/>
    <pivotField showAll="0"/>
  </pivotFields>
  <rowFields count="1">
    <field x="0"/>
  </rowFields>
  <rowItems count="2">
    <i>
      <x v="1"/>
    </i>
    <i t="grand">
      <x/>
    </i>
  </rowItems>
  <colItems count="1">
    <i/>
  </colItems>
  <dataFields count="1">
    <dataField name="Sum of Calories Burned" fld="3" baseField="0" baseItem="0"/>
  </dataFields>
  <chartFormats count="2">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2B517C-12A6-4733-B7BB-9D4B382F733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5" firstHeaderRow="1" firstDataRow="1" firstDataCol="1"/>
  <pivotFields count="10">
    <pivotField axis="axisRow" numFmtId="14" showAll="0">
      <items count="15">
        <item h="1" x="0"/>
        <item x="1"/>
        <item h="1" x="2"/>
        <item h="1" x="3"/>
        <item h="1" x="4"/>
        <item h="1" x="5"/>
        <item h="1" x="6"/>
        <item h="1" x="7"/>
        <item h="1" x="8"/>
        <item h="1" x="9"/>
        <item h="1" x="10"/>
        <item h="1" x="11"/>
        <item h="1" x="12"/>
        <item h="1" x="13"/>
        <item t="default"/>
      </items>
    </pivotField>
    <pivotField numFmtId="1" showAll="0"/>
    <pivotField numFmtId="1" showAll="0"/>
    <pivotField numFmtId="1" showAll="0"/>
    <pivotField numFmtId="165" showAll="0"/>
    <pivotField dataField="1" numFmtId="165" showAll="0"/>
    <pivotField showAll="0"/>
    <pivotField showAll="0"/>
    <pivotField showAll="0"/>
    <pivotField showAll="0"/>
  </pivotFields>
  <rowFields count="1">
    <field x="0"/>
  </rowFields>
  <rowItems count="2">
    <i>
      <x v="1"/>
    </i>
    <i t="grand">
      <x/>
    </i>
  </rowItems>
  <colItems count="1">
    <i/>
  </colItems>
  <dataFields count="1">
    <dataField name="Sum of Sleep (hrs)" fld="5"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52AA27-667A-4B05-BBED-7FD8E43E9AF3}"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6" firstHeaderRow="1" firstDataRow="1" firstDataCol="1"/>
  <pivotFields count="10">
    <pivotField numFmtId="14" showAll="0">
      <items count="15">
        <item h="1" x="0"/>
        <item x="1"/>
        <item h="1" x="2"/>
        <item h="1" x="3"/>
        <item h="1" x="4"/>
        <item h="1" x="5"/>
        <item h="1" x="6"/>
        <item h="1" x="7"/>
        <item h="1" x="8"/>
        <item h="1" x="9"/>
        <item h="1" x="10"/>
        <item h="1" x="11"/>
        <item h="1" x="12"/>
        <item h="1" x="13"/>
        <item t="default"/>
      </items>
    </pivotField>
    <pivotField numFmtId="1" showAll="0"/>
    <pivotField numFmtId="1" showAll="0"/>
    <pivotField numFmtId="1" showAll="0"/>
    <pivotField numFmtId="165" showAll="0"/>
    <pivotField numFmtId="165" showAll="0"/>
    <pivotField axis="axisRow" dataField="1" showAll="0">
      <items count="3">
        <item x="1"/>
        <item x="0"/>
        <item t="default"/>
      </items>
    </pivotField>
    <pivotField showAll="0"/>
    <pivotField showAll="0"/>
    <pivotField showAll="0"/>
  </pivotFields>
  <rowFields count="1">
    <field x="6"/>
  </rowFields>
  <rowItems count="3">
    <i>
      <x/>
    </i>
    <i>
      <x v="1"/>
    </i>
    <i t="grand">
      <x/>
    </i>
  </rowItems>
  <colItems count="1">
    <i/>
  </colItems>
  <dataFields count="1">
    <dataField name="Count of Habit Completed" fld="6" subtotal="count" baseField="6" baseItem="0" numFmtId="10">
      <extLst>
        <ext xmlns:x14="http://schemas.microsoft.com/office/spreadsheetml/2009/9/main" uri="{E15A36E0-9728-4e99-A89B-3F7291B0FE68}">
          <x14:dataField pivotShowAs="percentOfParentRow"/>
        </ext>
      </extLst>
    </dataField>
  </dataFields>
  <chartFormats count="6">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6" count="1" selected="0">
            <x v="0"/>
          </reference>
        </references>
      </pivotArea>
    </chartFormat>
    <chartFormat chart="7" format="5">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CB92D7-8CE9-4B2F-902E-0F516B54720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5" firstHeaderRow="1" firstDataRow="1" firstDataCol="1"/>
  <pivotFields count="10">
    <pivotField axis="axisRow" numFmtId="14" showAll="0">
      <items count="15">
        <item h="1" x="0"/>
        <item x="1"/>
        <item h="1" x="2"/>
        <item h="1" x="3"/>
        <item h="1" x="4"/>
        <item h="1" x="5"/>
        <item h="1" x="6"/>
        <item h="1" x="7"/>
        <item h="1" x="8"/>
        <item h="1" x="9"/>
        <item h="1" x="10"/>
        <item h="1" x="11"/>
        <item h="1" x="12"/>
        <item h="1" x="13"/>
        <item t="default"/>
      </items>
    </pivotField>
    <pivotField numFmtId="1" showAll="0"/>
    <pivotField numFmtId="1" showAll="0"/>
    <pivotField numFmtId="1" showAll="0"/>
    <pivotField dataField="1" numFmtId="165" showAll="0">
      <items count="25">
        <item x="3"/>
        <item x="6"/>
        <item x="2"/>
        <item x="20"/>
        <item x="9"/>
        <item x="15"/>
        <item x="16"/>
        <item x="8"/>
        <item x="14"/>
        <item x="17"/>
        <item x="4"/>
        <item x="12"/>
        <item x="11"/>
        <item x="18"/>
        <item x="23"/>
        <item x="21"/>
        <item x="1"/>
        <item x="10"/>
        <item x="13"/>
        <item x="5"/>
        <item x="7"/>
        <item x="22"/>
        <item x="19"/>
        <item x="0"/>
        <item t="default"/>
      </items>
    </pivotField>
    <pivotField numFmtId="165" showAll="0"/>
    <pivotField showAll="0"/>
    <pivotField showAll="0"/>
    <pivotField showAll="0"/>
    <pivotField showAll="0"/>
  </pivotFields>
  <rowFields count="1">
    <field x="0"/>
  </rowFields>
  <rowItems count="2">
    <i>
      <x v="1"/>
    </i>
    <i t="grand">
      <x/>
    </i>
  </rowItems>
  <colItems count="1">
    <i/>
  </colItems>
  <dataFields count="1">
    <dataField name="Sum of Water Intake (L)" fld="4"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CF63DCA-AD7B-4516-A32F-5C56239F47EE}" sourceName="Date">
  <pivotTables>
    <pivotTable tabId="6" name="PivotTable4"/>
    <pivotTable tabId="7" name="PivotTable5"/>
    <pivotTable tabId="4" name="PivotTable2"/>
    <pivotTable tabId="10" name="PivotTable6"/>
    <pivotTable tabId="3" name="PivotTable1"/>
    <pivotTable tabId="5" name="PivotTable3"/>
  </pivotTables>
  <data>
    <tabular pivotCacheId="880524855">
      <items count="14">
        <i x="1" s="1"/>
        <i x="2"/>
        <i x="3"/>
        <i x="4" nd="1"/>
        <i x="5" nd="1"/>
        <i x="6" nd="1"/>
        <i x="7" nd="1"/>
        <i x="8" nd="1"/>
        <i x="9" nd="1"/>
        <i x="10" nd="1"/>
        <i x="11" nd="1"/>
        <i x="12"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2B31E215-8C91-4112-82E4-9555B5CE02B0}" cache="Slicer_Date" caption="Month" columnCount="3" showCaption="0" style="Slicer Style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
  <sheetViews>
    <sheetView topLeftCell="A39" workbookViewId="0">
      <selection sqref="A1:G61"/>
    </sheetView>
  </sheetViews>
  <sheetFormatPr defaultRowHeight="15" x14ac:dyDescent="0.25"/>
  <cols>
    <col min="1" max="1" width="10.42578125" bestFit="1" customWidth="1"/>
    <col min="2" max="2" width="14.140625" bestFit="1" customWidth="1"/>
    <col min="3" max="3" width="6" bestFit="1" customWidth="1"/>
    <col min="4" max="4" width="15.140625" bestFit="1" customWidth="1"/>
    <col min="5" max="5" width="15.28515625" bestFit="1" customWidth="1"/>
    <col min="6" max="6" width="10.5703125" bestFit="1" customWidth="1"/>
    <col min="7" max="7" width="16.140625" bestFit="1" customWidth="1"/>
  </cols>
  <sheetData>
    <row r="1" spans="1:7" x14ac:dyDescent="0.25">
      <c r="A1" t="s">
        <v>0</v>
      </c>
      <c r="B1" t="s">
        <v>1</v>
      </c>
      <c r="C1" t="s">
        <v>2</v>
      </c>
      <c r="D1" t="s">
        <v>3</v>
      </c>
      <c r="E1" t="s">
        <v>4</v>
      </c>
      <c r="F1" t="s">
        <v>5</v>
      </c>
      <c r="G1" t="s">
        <v>6</v>
      </c>
    </row>
    <row r="2" spans="1:7" x14ac:dyDescent="0.25">
      <c r="A2" s="1">
        <v>45658</v>
      </c>
      <c r="B2">
        <v>45</v>
      </c>
      <c r="C2">
        <v>10758</v>
      </c>
      <c r="D2">
        <v>1850</v>
      </c>
      <c r="E2">
        <v>4</v>
      </c>
      <c r="F2">
        <v>6.2</v>
      </c>
      <c r="G2" t="s">
        <v>7</v>
      </c>
    </row>
    <row r="3" spans="1:7" x14ac:dyDescent="0.25">
      <c r="A3" s="1">
        <v>45659</v>
      </c>
      <c r="B3">
        <v>0</v>
      </c>
      <c r="C3">
        <v>3056</v>
      </c>
      <c r="D3">
        <v>2408</v>
      </c>
      <c r="E3">
        <v>3.3</v>
      </c>
      <c r="F3">
        <v>7.3</v>
      </c>
      <c r="G3" t="s">
        <v>7</v>
      </c>
    </row>
    <row r="4" spans="1:7" x14ac:dyDescent="0.25">
      <c r="A4" s="1">
        <v>45660</v>
      </c>
      <c r="B4">
        <v>60</v>
      </c>
      <c r="C4">
        <v>3461</v>
      </c>
      <c r="D4">
        <v>1625</v>
      </c>
      <c r="E4">
        <v>1.8</v>
      </c>
      <c r="F4">
        <v>8.5</v>
      </c>
      <c r="G4" t="s">
        <v>7</v>
      </c>
    </row>
    <row r="5" spans="1:7" x14ac:dyDescent="0.25">
      <c r="A5" s="1">
        <v>45661</v>
      </c>
      <c r="B5">
        <v>20</v>
      </c>
      <c r="C5">
        <v>3467</v>
      </c>
      <c r="D5">
        <v>2289</v>
      </c>
      <c r="E5">
        <v>1.6</v>
      </c>
      <c r="F5">
        <v>8</v>
      </c>
      <c r="G5" t="s">
        <v>8</v>
      </c>
    </row>
    <row r="6" spans="1:7" x14ac:dyDescent="0.25">
      <c r="A6" s="1">
        <v>45662</v>
      </c>
      <c r="B6">
        <v>45</v>
      </c>
      <c r="C6">
        <v>8211</v>
      </c>
      <c r="D6">
        <v>2034</v>
      </c>
      <c r="E6">
        <v>2.7</v>
      </c>
      <c r="F6">
        <v>6.7</v>
      </c>
      <c r="G6" t="s">
        <v>8</v>
      </c>
    </row>
    <row r="7" spans="1:7" x14ac:dyDescent="0.25">
      <c r="A7" s="1">
        <v>45663</v>
      </c>
      <c r="B7">
        <v>30</v>
      </c>
      <c r="C7">
        <v>9383</v>
      </c>
      <c r="D7">
        <v>1369</v>
      </c>
      <c r="E7">
        <v>3.6</v>
      </c>
      <c r="F7">
        <v>8.3000000000000007</v>
      </c>
      <c r="G7" t="s">
        <v>7</v>
      </c>
    </row>
    <row r="8" spans="1:7" x14ac:dyDescent="0.25">
      <c r="A8" s="1">
        <v>45664</v>
      </c>
      <c r="B8">
        <v>20</v>
      </c>
      <c r="C8">
        <v>9833</v>
      </c>
      <c r="D8">
        <v>1584</v>
      </c>
      <c r="E8">
        <v>1.7</v>
      </c>
      <c r="F8">
        <v>7.1</v>
      </c>
      <c r="G8" t="s">
        <v>7</v>
      </c>
    </row>
    <row r="9" spans="1:7" x14ac:dyDescent="0.25">
      <c r="A9" s="1">
        <v>45665</v>
      </c>
      <c r="B9">
        <v>60</v>
      </c>
      <c r="C9">
        <v>3595</v>
      </c>
      <c r="D9">
        <v>1519</v>
      </c>
      <c r="E9">
        <v>3.7</v>
      </c>
      <c r="F9">
        <v>7.3</v>
      </c>
      <c r="G9" t="s">
        <v>8</v>
      </c>
    </row>
    <row r="10" spans="1:7" x14ac:dyDescent="0.25">
      <c r="A10" s="1">
        <v>45666</v>
      </c>
      <c r="B10">
        <v>45</v>
      </c>
      <c r="C10">
        <v>6862</v>
      </c>
      <c r="D10">
        <v>1258</v>
      </c>
      <c r="E10">
        <v>2.4</v>
      </c>
      <c r="F10">
        <v>7.1</v>
      </c>
      <c r="G10" t="s">
        <v>7</v>
      </c>
    </row>
    <row r="11" spans="1:7" x14ac:dyDescent="0.25">
      <c r="A11" s="1">
        <v>45667</v>
      </c>
      <c r="B11">
        <v>60</v>
      </c>
      <c r="C11">
        <v>6826</v>
      </c>
      <c r="D11">
        <v>1933</v>
      </c>
      <c r="E11">
        <v>2</v>
      </c>
      <c r="F11">
        <v>6.5</v>
      </c>
      <c r="G11" t="s">
        <v>7</v>
      </c>
    </row>
    <row r="12" spans="1:7" x14ac:dyDescent="0.25">
      <c r="A12" s="1">
        <v>45668</v>
      </c>
      <c r="B12">
        <v>30</v>
      </c>
      <c r="C12">
        <v>10988</v>
      </c>
      <c r="D12">
        <v>1416</v>
      </c>
      <c r="E12">
        <v>3.4</v>
      </c>
      <c r="F12">
        <v>6.1</v>
      </c>
      <c r="G12" t="s">
        <v>7</v>
      </c>
    </row>
    <row r="13" spans="1:7" x14ac:dyDescent="0.25">
      <c r="A13" s="1">
        <v>45669</v>
      </c>
      <c r="B13">
        <v>30</v>
      </c>
      <c r="C13">
        <v>7839</v>
      </c>
      <c r="D13">
        <v>2096</v>
      </c>
      <c r="E13">
        <v>2.9</v>
      </c>
      <c r="F13">
        <v>7.2</v>
      </c>
      <c r="G13" t="s">
        <v>7</v>
      </c>
    </row>
    <row r="14" spans="1:7" x14ac:dyDescent="0.25">
      <c r="A14" s="1">
        <v>45670</v>
      </c>
      <c r="B14">
        <v>30</v>
      </c>
      <c r="C14">
        <v>7130</v>
      </c>
      <c r="D14">
        <v>1312</v>
      </c>
      <c r="E14">
        <v>3.6</v>
      </c>
      <c r="F14">
        <v>5.6</v>
      </c>
      <c r="G14" t="s">
        <v>8</v>
      </c>
    </row>
    <row r="15" spans="1:7" x14ac:dyDescent="0.25">
      <c r="A15" s="1">
        <v>45671</v>
      </c>
      <c r="B15">
        <v>0</v>
      </c>
      <c r="C15">
        <v>6866</v>
      </c>
      <c r="D15">
        <v>1580</v>
      </c>
      <c r="E15">
        <v>2.8</v>
      </c>
      <c r="F15">
        <v>7.1</v>
      </c>
      <c r="G15" t="s">
        <v>8</v>
      </c>
    </row>
    <row r="16" spans="1:7" x14ac:dyDescent="0.25">
      <c r="A16" s="1">
        <v>45672</v>
      </c>
      <c r="B16">
        <v>20</v>
      </c>
      <c r="C16">
        <v>2466</v>
      </c>
      <c r="D16">
        <v>1974</v>
      </c>
      <c r="E16">
        <v>3.5</v>
      </c>
      <c r="F16">
        <v>7.4</v>
      </c>
      <c r="G16" t="s">
        <v>8</v>
      </c>
    </row>
    <row r="17" spans="1:7" x14ac:dyDescent="0.25">
      <c r="A17" s="1">
        <v>45673</v>
      </c>
      <c r="B17">
        <v>30</v>
      </c>
      <c r="C17">
        <v>11784</v>
      </c>
      <c r="D17">
        <v>1395</v>
      </c>
      <c r="E17">
        <v>2.5</v>
      </c>
      <c r="F17">
        <v>7.8</v>
      </c>
      <c r="G17" t="s">
        <v>8</v>
      </c>
    </row>
    <row r="18" spans="1:7" x14ac:dyDescent="0.25">
      <c r="A18" s="1">
        <v>45674</v>
      </c>
      <c r="B18">
        <v>45</v>
      </c>
      <c r="C18">
        <v>5239</v>
      </c>
      <c r="D18">
        <v>2398</v>
      </c>
      <c r="E18">
        <v>2.1</v>
      </c>
      <c r="F18">
        <v>6.8</v>
      </c>
      <c r="G18" t="s">
        <v>7</v>
      </c>
    </row>
    <row r="19" spans="1:7" x14ac:dyDescent="0.25">
      <c r="A19" s="1">
        <v>45675</v>
      </c>
      <c r="B19">
        <v>0</v>
      </c>
      <c r="C19">
        <v>6436</v>
      </c>
      <c r="D19">
        <v>2204</v>
      </c>
      <c r="E19">
        <v>2.8</v>
      </c>
      <c r="F19">
        <v>7.7</v>
      </c>
      <c r="G19" t="s">
        <v>8</v>
      </c>
    </row>
    <row r="20" spans="1:7" x14ac:dyDescent="0.25">
      <c r="A20" s="1">
        <v>45676</v>
      </c>
      <c r="B20">
        <v>60</v>
      </c>
      <c r="C20">
        <v>4685</v>
      </c>
      <c r="D20">
        <v>2091</v>
      </c>
      <c r="E20">
        <v>2.2000000000000002</v>
      </c>
      <c r="F20">
        <v>5.7</v>
      </c>
      <c r="G20" t="s">
        <v>8</v>
      </c>
    </row>
    <row r="21" spans="1:7" x14ac:dyDescent="0.25">
      <c r="A21" s="1">
        <v>45677</v>
      </c>
      <c r="B21">
        <v>20</v>
      </c>
      <c r="C21">
        <v>4227</v>
      </c>
      <c r="D21">
        <v>1400</v>
      </c>
      <c r="E21">
        <v>2.6</v>
      </c>
      <c r="F21">
        <v>7.9</v>
      </c>
      <c r="G21" t="s">
        <v>8</v>
      </c>
    </row>
    <row r="22" spans="1:7" x14ac:dyDescent="0.25">
      <c r="A22" s="1">
        <v>45678</v>
      </c>
      <c r="B22">
        <v>0</v>
      </c>
      <c r="C22">
        <v>4453</v>
      </c>
      <c r="D22">
        <v>1564</v>
      </c>
      <c r="E22">
        <v>2</v>
      </c>
      <c r="F22">
        <v>6.6</v>
      </c>
      <c r="G22" t="s">
        <v>7</v>
      </c>
    </row>
    <row r="23" spans="1:7" x14ac:dyDescent="0.25">
      <c r="A23" s="1">
        <v>45679</v>
      </c>
      <c r="B23">
        <v>60</v>
      </c>
      <c r="C23">
        <v>9722</v>
      </c>
      <c r="D23">
        <v>1339</v>
      </c>
      <c r="E23">
        <v>3.6</v>
      </c>
      <c r="F23">
        <v>6</v>
      </c>
      <c r="G23" t="s">
        <v>8</v>
      </c>
    </row>
    <row r="24" spans="1:7" x14ac:dyDescent="0.25">
      <c r="A24" s="1">
        <v>45680</v>
      </c>
      <c r="B24">
        <v>45</v>
      </c>
      <c r="C24">
        <v>3432</v>
      </c>
      <c r="D24">
        <v>2456</v>
      </c>
      <c r="E24">
        <v>2.8</v>
      </c>
      <c r="F24">
        <v>7.1</v>
      </c>
      <c r="G24" t="s">
        <v>8</v>
      </c>
    </row>
    <row r="25" spans="1:7" x14ac:dyDescent="0.25">
      <c r="A25" s="1">
        <v>45681</v>
      </c>
      <c r="B25">
        <v>60</v>
      </c>
      <c r="C25">
        <v>4656</v>
      </c>
      <c r="D25">
        <v>2282</v>
      </c>
      <c r="E25">
        <v>1.8</v>
      </c>
      <c r="F25">
        <v>6.3</v>
      </c>
      <c r="G25" t="s">
        <v>8</v>
      </c>
    </row>
    <row r="26" spans="1:7" x14ac:dyDescent="0.25">
      <c r="A26" s="1">
        <v>45682</v>
      </c>
      <c r="B26">
        <v>0</v>
      </c>
      <c r="C26">
        <v>7671</v>
      </c>
      <c r="D26">
        <v>1404</v>
      </c>
      <c r="E26">
        <v>2.1</v>
      </c>
      <c r="F26">
        <v>7</v>
      </c>
      <c r="G26" t="s">
        <v>7</v>
      </c>
    </row>
    <row r="27" spans="1:7" x14ac:dyDescent="0.25">
      <c r="A27" s="1">
        <v>45683</v>
      </c>
      <c r="B27">
        <v>20</v>
      </c>
      <c r="C27">
        <v>7166</v>
      </c>
      <c r="D27">
        <v>2149</v>
      </c>
      <c r="E27">
        <v>3</v>
      </c>
      <c r="F27">
        <v>6.1</v>
      </c>
      <c r="G27" t="s">
        <v>7</v>
      </c>
    </row>
    <row r="28" spans="1:7" x14ac:dyDescent="0.25">
      <c r="A28" s="1">
        <v>45684</v>
      </c>
      <c r="B28">
        <v>20</v>
      </c>
      <c r="C28">
        <v>11704</v>
      </c>
      <c r="D28">
        <v>2303</v>
      </c>
      <c r="E28">
        <v>3</v>
      </c>
      <c r="F28">
        <v>6.6</v>
      </c>
      <c r="G28" t="s">
        <v>7</v>
      </c>
    </row>
    <row r="29" spans="1:7" x14ac:dyDescent="0.25">
      <c r="A29" s="1">
        <v>45685</v>
      </c>
      <c r="B29">
        <v>30</v>
      </c>
      <c r="C29">
        <v>8170</v>
      </c>
      <c r="D29">
        <v>1433</v>
      </c>
      <c r="E29">
        <v>2.9</v>
      </c>
      <c r="F29">
        <v>7.8</v>
      </c>
      <c r="G29" t="s">
        <v>8</v>
      </c>
    </row>
    <row r="30" spans="1:7" x14ac:dyDescent="0.25">
      <c r="A30" s="1">
        <v>45686</v>
      </c>
      <c r="B30">
        <v>0</v>
      </c>
      <c r="C30">
        <v>10773</v>
      </c>
      <c r="D30">
        <v>2437</v>
      </c>
      <c r="E30">
        <v>2.8</v>
      </c>
      <c r="F30">
        <v>8.4</v>
      </c>
      <c r="G30" t="s">
        <v>8</v>
      </c>
    </row>
    <row r="31" spans="1:7" x14ac:dyDescent="0.25">
      <c r="A31" s="1">
        <v>45687</v>
      </c>
      <c r="B31">
        <v>30</v>
      </c>
      <c r="C31">
        <v>10474</v>
      </c>
      <c r="D31">
        <v>2138</v>
      </c>
      <c r="E31">
        <v>4</v>
      </c>
      <c r="F31">
        <v>5.8</v>
      </c>
      <c r="G31" t="s">
        <v>7</v>
      </c>
    </row>
    <row r="32" spans="1:7" x14ac:dyDescent="0.25">
      <c r="A32" s="1">
        <v>45688</v>
      </c>
      <c r="B32">
        <v>0</v>
      </c>
      <c r="C32">
        <v>9901</v>
      </c>
      <c r="D32">
        <v>1282</v>
      </c>
      <c r="E32">
        <v>3.9</v>
      </c>
      <c r="F32">
        <v>6.2</v>
      </c>
      <c r="G32" t="s">
        <v>7</v>
      </c>
    </row>
    <row r="33" spans="1:7" x14ac:dyDescent="0.25">
      <c r="A33" s="1">
        <v>45689</v>
      </c>
      <c r="B33">
        <v>0</v>
      </c>
      <c r="C33">
        <v>7826</v>
      </c>
      <c r="D33">
        <v>2375</v>
      </c>
      <c r="E33">
        <v>3.6</v>
      </c>
      <c r="F33">
        <v>6.2</v>
      </c>
      <c r="G33" t="s">
        <v>7</v>
      </c>
    </row>
    <row r="34" spans="1:7" x14ac:dyDescent="0.25">
      <c r="A34" s="1">
        <v>45690</v>
      </c>
      <c r="B34">
        <v>20</v>
      </c>
      <c r="C34">
        <v>8673</v>
      </c>
      <c r="D34">
        <v>2410</v>
      </c>
      <c r="E34">
        <v>2.8</v>
      </c>
      <c r="F34">
        <v>7.1</v>
      </c>
      <c r="G34" t="s">
        <v>7</v>
      </c>
    </row>
    <row r="35" spans="1:7" x14ac:dyDescent="0.25">
      <c r="A35" s="1">
        <v>45691</v>
      </c>
      <c r="B35">
        <v>0</v>
      </c>
      <c r="C35">
        <v>7180</v>
      </c>
      <c r="D35">
        <v>2246</v>
      </c>
      <c r="E35">
        <v>3.3</v>
      </c>
      <c r="F35">
        <v>8</v>
      </c>
      <c r="G35" t="s">
        <v>8</v>
      </c>
    </row>
    <row r="36" spans="1:7" x14ac:dyDescent="0.25">
      <c r="A36" s="1">
        <v>45692</v>
      </c>
      <c r="B36">
        <v>20</v>
      </c>
      <c r="C36">
        <v>9338</v>
      </c>
      <c r="D36">
        <v>1968</v>
      </c>
      <c r="E36">
        <v>2.2000000000000002</v>
      </c>
      <c r="F36">
        <v>6.3</v>
      </c>
      <c r="G36" t="s">
        <v>7</v>
      </c>
    </row>
    <row r="37" spans="1:7" x14ac:dyDescent="0.25">
      <c r="A37" s="1">
        <v>45693</v>
      </c>
      <c r="B37">
        <v>30</v>
      </c>
      <c r="C37">
        <v>11235</v>
      </c>
      <c r="D37">
        <v>1257</v>
      </c>
      <c r="E37">
        <v>2.2000000000000002</v>
      </c>
      <c r="F37">
        <v>7.1</v>
      </c>
      <c r="G37" t="s">
        <v>7</v>
      </c>
    </row>
    <row r="38" spans="1:7" x14ac:dyDescent="0.25">
      <c r="A38" s="1">
        <v>45694</v>
      </c>
      <c r="B38">
        <v>0</v>
      </c>
      <c r="C38">
        <v>8809</v>
      </c>
      <c r="D38">
        <v>1965</v>
      </c>
      <c r="E38">
        <v>3.4</v>
      </c>
      <c r="F38">
        <v>5.5</v>
      </c>
      <c r="G38" t="s">
        <v>8</v>
      </c>
    </row>
    <row r="39" spans="1:7" x14ac:dyDescent="0.25">
      <c r="A39" s="1">
        <v>45695</v>
      </c>
      <c r="B39">
        <v>0</v>
      </c>
      <c r="C39">
        <v>10036</v>
      </c>
      <c r="D39">
        <v>2102</v>
      </c>
      <c r="E39">
        <v>2.9</v>
      </c>
      <c r="F39">
        <v>6.4</v>
      </c>
      <c r="G39" t="s">
        <v>7</v>
      </c>
    </row>
    <row r="40" spans="1:7" x14ac:dyDescent="0.25">
      <c r="A40" s="1">
        <v>45696</v>
      </c>
      <c r="B40">
        <v>20</v>
      </c>
      <c r="C40">
        <v>9663</v>
      </c>
      <c r="D40">
        <v>1787</v>
      </c>
      <c r="E40">
        <v>1.9</v>
      </c>
      <c r="F40">
        <v>7</v>
      </c>
      <c r="G40" t="s">
        <v>8</v>
      </c>
    </row>
    <row r="41" spans="1:7" x14ac:dyDescent="0.25">
      <c r="A41" s="1">
        <v>45697</v>
      </c>
      <c r="B41">
        <v>0</v>
      </c>
      <c r="C41">
        <v>5554</v>
      </c>
      <c r="D41">
        <v>1936</v>
      </c>
      <c r="E41">
        <v>3.9</v>
      </c>
      <c r="F41">
        <v>6.9</v>
      </c>
      <c r="G41" t="s">
        <v>8</v>
      </c>
    </row>
    <row r="42" spans="1:7" x14ac:dyDescent="0.25">
      <c r="A42" s="1">
        <v>45698</v>
      </c>
      <c r="B42">
        <v>20</v>
      </c>
      <c r="C42">
        <v>11440</v>
      </c>
      <c r="D42">
        <v>1753</v>
      </c>
      <c r="E42">
        <v>2.8</v>
      </c>
      <c r="F42">
        <v>6</v>
      </c>
      <c r="G42" t="s">
        <v>7</v>
      </c>
    </row>
    <row r="43" spans="1:7" x14ac:dyDescent="0.25">
      <c r="A43" s="1">
        <v>45699</v>
      </c>
      <c r="B43">
        <v>30</v>
      </c>
      <c r="C43">
        <v>8873</v>
      </c>
      <c r="D43">
        <v>2412</v>
      </c>
      <c r="E43">
        <v>1.7</v>
      </c>
      <c r="F43">
        <v>7</v>
      </c>
      <c r="G43" t="s">
        <v>8</v>
      </c>
    </row>
    <row r="44" spans="1:7" x14ac:dyDescent="0.25">
      <c r="A44" s="1">
        <v>45700</v>
      </c>
      <c r="B44">
        <v>60</v>
      </c>
      <c r="C44">
        <v>3015</v>
      </c>
      <c r="D44">
        <v>1646</v>
      </c>
      <c r="E44">
        <v>3.2</v>
      </c>
      <c r="F44">
        <v>8.1999999999999993</v>
      </c>
      <c r="G44" t="s">
        <v>8</v>
      </c>
    </row>
    <row r="45" spans="1:7" x14ac:dyDescent="0.25">
      <c r="A45" s="1">
        <v>45701</v>
      </c>
      <c r="B45">
        <v>20</v>
      </c>
      <c r="C45">
        <v>5180</v>
      </c>
      <c r="D45">
        <v>2291</v>
      </c>
      <c r="E45">
        <v>3.2</v>
      </c>
      <c r="F45">
        <v>6.2</v>
      </c>
      <c r="G45" t="s">
        <v>8</v>
      </c>
    </row>
    <row r="46" spans="1:7" x14ac:dyDescent="0.25">
      <c r="A46" s="1">
        <v>45702</v>
      </c>
      <c r="B46">
        <v>30</v>
      </c>
      <c r="C46">
        <v>10042</v>
      </c>
      <c r="D46">
        <v>1748</v>
      </c>
      <c r="E46">
        <v>1.8</v>
      </c>
      <c r="F46">
        <v>8.4</v>
      </c>
      <c r="G46" t="s">
        <v>7</v>
      </c>
    </row>
    <row r="47" spans="1:7" x14ac:dyDescent="0.25">
      <c r="A47" s="1">
        <v>45703</v>
      </c>
      <c r="B47">
        <v>60</v>
      </c>
      <c r="C47">
        <v>8537</v>
      </c>
      <c r="D47">
        <v>1301</v>
      </c>
      <c r="E47">
        <v>3.8</v>
      </c>
      <c r="F47">
        <v>5.8</v>
      </c>
      <c r="G47" t="s">
        <v>8</v>
      </c>
    </row>
    <row r="48" spans="1:7" x14ac:dyDescent="0.25">
      <c r="A48" s="1">
        <v>45704</v>
      </c>
      <c r="B48">
        <v>0</v>
      </c>
      <c r="C48">
        <v>6851</v>
      </c>
      <c r="D48">
        <v>1863</v>
      </c>
      <c r="E48">
        <v>3.7</v>
      </c>
      <c r="F48">
        <v>5.7</v>
      </c>
      <c r="G48" t="s">
        <v>8</v>
      </c>
    </row>
    <row r="49" spans="1:7" x14ac:dyDescent="0.25">
      <c r="A49" s="1">
        <v>45705</v>
      </c>
      <c r="B49">
        <v>0</v>
      </c>
      <c r="C49">
        <v>9016</v>
      </c>
      <c r="D49">
        <v>2273</v>
      </c>
      <c r="E49">
        <v>3.3</v>
      </c>
      <c r="F49">
        <v>7.6</v>
      </c>
      <c r="G49" t="s">
        <v>7</v>
      </c>
    </row>
    <row r="50" spans="1:7" x14ac:dyDescent="0.25">
      <c r="A50" s="1">
        <v>45706</v>
      </c>
      <c r="B50">
        <v>45</v>
      </c>
      <c r="C50">
        <v>3678</v>
      </c>
      <c r="D50">
        <v>1305</v>
      </c>
      <c r="E50">
        <v>3.7</v>
      </c>
      <c r="F50">
        <v>8.4</v>
      </c>
      <c r="G50" t="s">
        <v>7</v>
      </c>
    </row>
    <row r="51" spans="1:7" x14ac:dyDescent="0.25">
      <c r="A51" s="1">
        <v>45707</v>
      </c>
      <c r="B51">
        <v>0</v>
      </c>
      <c r="C51">
        <v>7117</v>
      </c>
      <c r="D51">
        <v>1371</v>
      </c>
      <c r="E51">
        <v>4</v>
      </c>
      <c r="F51">
        <v>6.7</v>
      </c>
      <c r="G51" t="s">
        <v>7</v>
      </c>
    </row>
    <row r="52" spans="1:7" x14ac:dyDescent="0.25">
      <c r="A52" s="1">
        <v>45708</v>
      </c>
      <c r="B52">
        <v>60</v>
      </c>
      <c r="C52">
        <v>7569</v>
      </c>
      <c r="D52">
        <v>1404</v>
      </c>
      <c r="E52">
        <v>3.1</v>
      </c>
      <c r="F52">
        <v>7.8</v>
      </c>
      <c r="G52" t="s">
        <v>7</v>
      </c>
    </row>
    <row r="53" spans="1:7" x14ac:dyDescent="0.25">
      <c r="A53" s="1">
        <v>45709</v>
      </c>
      <c r="B53">
        <v>0</v>
      </c>
      <c r="C53">
        <v>7928</v>
      </c>
      <c r="D53">
        <v>2272</v>
      </c>
      <c r="E53">
        <v>2</v>
      </c>
      <c r="F53">
        <v>6</v>
      </c>
      <c r="G53" t="s">
        <v>8</v>
      </c>
    </row>
    <row r="54" spans="1:7" x14ac:dyDescent="0.25">
      <c r="A54" s="1">
        <v>45710</v>
      </c>
      <c r="B54">
        <v>30</v>
      </c>
      <c r="C54">
        <v>3374</v>
      </c>
      <c r="D54">
        <v>1422</v>
      </c>
      <c r="E54">
        <v>1.8</v>
      </c>
      <c r="F54">
        <v>6.2</v>
      </c>
      <c r="G54" t="s">
        <v>7</v>
      </c>
    </row>
    <row r="55" spans="1:7" x14ac:dyDescent="0.25">
      <c r="A55" s="1">
        <v>45711</v>
      </c>
      <c r="B55">
        <v>0</v>
      </c>
      <c r="C55">
        <v>6284</v>
      </c>
      <c r="D55">
        <v>1844</v>
      </c>
      <c r="E55">
        <v>2.1</v>
      </c>
      <c r="F55">
        <v>6.5</v>
      </c>
      <c r="G55" t="s">
        <v>7</v>
      </c>
    </row>
    <row r="56" spans="1:7" x14ac:dyDescent="0.25">
      <c r="A56" s="1">
        <v>45712</v>
      </c>
      <c r="B56">
        <v>20</v>
      </c>
      <c r="C56">
        <v>4839</v>
      </c>
      <c r="D56">
        <v>1913</v>
      </c>
      <c r="E56">
        <v>3.7</v>
      </c>
      <c r="F56">
        <v>7.3</v>
      </c>
      <c r="G56" t="s">
        <v>7</v>
      </c>
    </row>
    <row r="57" spans="1:7" x14ac:dyDescent="0.25">
      <c r="A57" s="1">
        <v>45713</v>
      </c>
      <c r="B57">
        <v>45</v>
      </c>
      <c r="C57">
        <v>8095</v>
      </c>
      <c r="D57">
        <v>1211</v>
      </c>
      <c r="E57">
        <v>1.9</v>
      </c>
      <c r="F57">
        <v>8.3000000000000007</v>
      </c>
      <c r="G57" t="s">
        <v>8</v>
      </c>
    </row>
    <row r="58" spans="1:7" x14ac:dyDescent="0.25">
      <c r="A58" s="1">
        <v>45714</v>
      </c>
      <c r="B58">
        <v>60</v>
      </c>
      <c r="C58">
        <v>5896</v>
      </c>
      <c r="D58">
        <v>2270</v>
      </c>
      <c r="E58">
        <v>2.7</v>
      </c>
      <c r="F58">
        <v>6.2</v>
      </c>
      <c r="G58" t="s">
        <v>7</v>
      </c>
    </row>
    <row r="59" spans="1:7" x14ac:dyDescent="0.25">
      <c r="A59" s="1">
        <v>45715</v>
      </c>
      <c r="B59">
        <v>30</v>
      </c>
      <c r="C59">
        <v>7519</v>
      </c>
      <c r="D59">
        <v>1872</v>
      </c>
      <c r="E59">
        <v>3.8</v>
      </c>
      <c r="F59">
        <v>8.5</v>
      </c>
      <c r="G59" t="s">
        <v>8</v>
      </c>
    </row>
    <row r="60" spans="1:7" x14ac:dyDescent="0.25">
      <c r="A60" s="1">
        <v>45716</v>
      </c>
      <c r="B60">
        <v>20</v>
      </c>
      <c r="C60">
        <v>8497</v>
      </c>
      <c r="D60">
        <v>1920</v>
      </c>
      <c r="E60">
        <v>1.8</v>
      </c>
      <c r="F60">
        <v>5.6</v>
      </c>
      <c r="G60" t="s">
        <v>8</v>
      </c>
    </row>
    <row r="61" spans="1:7" x14ac:dyDescent="0.25">
      <c r="A61" s="1">
        <v>45717</v>
      </c>
      <c r="B61">
        <v>45</v>
      </c>
      <c r="C61">
        <v>2775</v>
      </c>
      <c r="D61">
        <v>1608</v>
      </c>
      <c r="E61">
        <v>2.8</v>
      </c>
      <c r="F61">
        <v>7.3</v>
      </c>
      <c r="G61"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8ABD4-0BC5-4F3A-B3EA-6A156B2D51A9}">
  <dimension ref="A3:B5"/>
  <sheetViews>
    <sheetView workbookViewId="0">
      <selection activeCell="B7" sqref="B7"/>
    </sheetView>
  </sheetViews>
  <sheetFormatPr defaultRowHeight="15" x14ac:dyDescent="0.25"/>
  <cols>
    <col min="1" max="1" width="13.140625" bestFit="1" customWidth="1"/>
    <col min="2" max="2" width="21" bestFit="1" customWidth="1"/>
  </cols>
  <sheetData>
    <row r="3" spans="1:2" x14ac:dyDescent="0.25">
      <c r="A3" s="6" t="s">
        <v>12</v>
      </c>
      <c r="B3" t="s">
        <v>15</v>
      </c>
    </row>
    <row r="4" spans="1:2" x14ac:dyDescent="0.25">
      <c r="A4" s="7" t="s">
        <v>14</v>
      </c>
      <c r="B4" s="10">
        <v>915</v>
      </c>
    </row>
    <row r="5" spans="1:2" x14ac:dyDescent="0.25">
      <c r="A5" s="7" t="s">
        <v>13</v>
      </c>
      <c r="B5" s="10">
        <v>915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23ED-12C2-44F1-9ADA-E36FA1599C99}">
  <dimension ref="A3:B5"/>
  <sheetViews>
    <sheetView workbookViewId="0">
      <selection activeCell="A5" sqref="A3:B7"/>
    </sheetView>
  </sheetViews>
  <sheetFormatPr defaultRowHeight="15" x14ac:dyDescent="0.25"/>
  <cols>
    <col min="1" max="1" width="13.140625" bestFit="1" customWidth="1"/>
    <col min="2" max="2" width="12.42578125" bestFit="1" customWidth="1"/>
  </cols>
  <sheetData>
    <row r="3" spans="1:2" x14ac:dyDescent="0.25">
      <c r="A3" s="6" t="s">
        <v>12</v>
      </c>
      <c r="B3" t="s">
        <v>16</v>
      </c>
    </row>
    <row r="4" spans="1:2" x14ac:dyDescent="0.25">
      <c r="A4" s="7" t="s">
        <v>14</v>
      </c>
      <c r="B4" s="10">
        <v>221234</v>
      </c>
    </row>
    <row r="5" spans="1:2" x14ac:dyDescent="0.25">
      <c r="A5" s="7" t="s">
        <v>13</v>
      </c>
      <c r="B5" s="10">
        <v>221234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8CB5B-AB77-4F37-94C2-8277B5988460}">
  <dimension ref="A3:B5"/>
  <sheetViews>
    <sheetView workbookViewId="0">
      <selection activeCell="B4" sqref="B4"/>
    </sheetView>
  </sheetViews>
  <sheetFormatPr defaultRowHeight="15" x14ac:dyDescent="0.25"/>
  <cols>
    <col min="1" max="1" width="13.140625" bestFit="1" customWidth="1"/>
    <col min="2" max="2" width="22" bestFit="1" customWidth="1"/>
  </cols>
  <sheetData>
    <row r="3" spans="1:2" x14ac:dyDescent="0.25">
      <c r="A3" s="6" t="s">
        <v>12</v>
      </c>
      <c r="B3" t="s">
        <v>17</v>
      </c>
    </row>
    <row r="4" spans="1:2" x14ac:dyDescent="0.25">
      <c r="A4" s="7" t="s">
        <v>14</v>
      </c>
      <c r="B4" s="10">
        <v>56522</v>
      </c>
    </row>
    <row r="5" spans="1:2" x14ac:dyDescent="0.25">
      <c r="A5" s="7" t="s">
        <v>13</v>
      </c>
      <c r="B5" s="10">
        <v>56522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98DBA-A1A3-4803-A827-6EF7258D6DEB}">
  <dimension ref="A3:B5"/>
  <sheetViews>
    <sheetView workbookViewId="0">
      <selection activeCell="N10" sqref="N10"/>
    </sheetView>
  </sheetViews>
  <sheetFormatPr defaultRowHeight="15" x14ac:dyDescent="0.25"/>
  <cols>
    <col min="1" max="1" width="13.140625" bestFit="1" customWidth="1"/>
    <col min="2" max="2" width="17.42578125" bestFit="1" customWidth="1"/>
  </cols>
  <sheetData>
    <row r="3" spans="1:2" x14ac:dyDescent="0.25">
      <c r="A3" s="6" t="s">
        <v>12</v>
      </c>
      <c r="B3" t="s">
        <v>18</v>
      </c>
    </row>
    <row r="4" spans="1:2" x14ac:dyDescent="0.25">
      <c r="A4" s="7" t="s">
        <v>14</v>
      </c>
      <c r="B4" s="10">
        <v>216.2</v>
      </c>
    </row>
    <row r="5" spans="1:2" x14ac:dyDescent="0.25">
      <c r="A5" s="7" t="s">
        <v>13</v>
      </c>
      <c r="B5" s="10">
        <v>216.2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B3038-B4E7-4769-AF05-CF01BE4E4C63}">
  <dimension ref="A3:B6"/>
  <sheetViews>
    <sheetView workbookViewId="0">
      <selection activeCell="B5" sqref="B5"/>
    </sheetView>
  </sheetViews>
  <sheetFormatPr defaultRowHeight="15" x14ac:dyDescent="0.25"/>
  <cols>
    <col min="1" max="1" width="13.140625" bestFit="1" customWidth="1"/>
    <col min="2" max="2" width="24.42578125" bestFit="1" customWidth="1"/>
  </cols>
  <sheetData>
    <row r="3" spans="1:2" x14ac:dyDescent="0.25">
      <c r="A3" s="6" t="s">
        <v>12</v>
      </c>
      <c r="B3" t="s">
        <v>19</v>
      </c>
    </row>
    <row r="4" spans="1:2" x14ac:dyDescent="0.25">
      <c r="A4" s="8" t="s">
        <v>8</v>
      </c>
      <c r="B4" s="9">
        <v>0.4838709677419355</v>
      </c>
    </row>
    <row r="5" spans="1:2" x14ac:dyDescent="0.25">
      <c r="A5" s="8" t="s">
        <v>7</v>
      </c>
      <c r="B5" s="9">
        <v>0.5161290322580645</v>
      </c>
    </row>
    <row r="6" spans="1:2" x14ac:dyDescent="0.25">
      <c r="A6" s="8" t="s">
        <v>13</v>
      </c>
      <c r="B6" s="9">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9B49D-8A67-4017-8BC1-10046E22D790}">
  <dimension ref="A3:B5"/>
  <sheetViews>
    <sheetView workbookViewId="0">
      <selection activeCell="B13" sqref="B13"/>
    </sheetView>
  </sheetViews>
  <sheetFormatPr defaultRowHeight="15" x14ac:dyDescent="0.25"/>
  <cols>
    <col min="1" max="1" width="13.140625" bestFit="1" customWidth="1"/>
    <col min="2" max="2" width="22.28515625" bestFit="1" customWidth="1"/>
  </cols>
  <sheetData>
    <row r="3" spans="1:2" x14ac:dyDescent="0.25">
      <c r="A3" s="6" t="s">
        <v>12</v>
      </c>
      <c r="B3" t="s">
        <v>20</v>
      </c>
    </row>
    <row r="4" spans="1:2" x14ac:dyDescent="0.25">
      <c r="A4" s="7" t="s">
        <v>14</v>
      </c>
      <c r="B4" s="10">
        <v>87.1</v>
      </c>
    </row>
    <row r="5" spans="1:2" x14ac:dyDescent="0.25">
      <c r="A5" s="7" t="s">
        <v>13</v>
      </c>
      <c r="B5" s="10">
        <v>87.1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5A0EF-B1A7-44F4-969B-7DE7246EF79C}">
  <dimension ref="A1:W28"/>
  <sheetViews>
    <sheetView tabSelected="1" zoomScale="80" zoomScaleNormal="80" workbookViewId="0">
      <selection activeCell="Y4" sqref="Y4"/>
    </sheetView>
  </sheetViews>
  <sheetFormatPr defaultRowHeight="15" x14ac:dyDescent="0.25"/>
  <cols>
    <col min="17" max="17" width="10.42578125" bestFit="1" customWidth="1"/>
    <col min="20" max="20" width="10.140625" bestFit="1" customWidth="1"/>
  </cols>
  <sheetData>
    <row r="1" spans="1:23" s="16" customFormat="1" ht="36" customHeight="1" x14ac:dyDescent="0.5">
      <c r="A1" s="15" t="s">
        <v>21</v>
      </c>
      <c r="B1" s="11"/>
      <c r="C1" s="11"/>
      <c r="D1" s="11"/>
      <c r="E1" s="11"/>
      <c r="F1" s="11"/>
      <c r="G1" s="11"/>
      <c r="H1" s="11"/>
      <c r="I1" s="11"/>
      <c r="J1" s="11"/>
      <c r="K1" s="11"/>
      <c r="L1" s="11"/>
      <c r="M1" s="11"/>
      <c r="N1" s="11"/>
      <c r="O1" s="11"/>
      <c r="P1" s="11"/>
      <c r="Q1" s="11"/>
      <c r="R1" s="11"/>
      <c r="S1" s="11"/>
      <c r="T1" s="11"/>
      <c r="U1" s="11"/>
      <c r="V1" s="11"/>
      <c r="W1" s="11"/>
    </row>
    <row r="2" spans="1:23" s="16" customFormat="1" x14ac:dyDescent="0.25">
      <c r="A2" s="12"/>
      <c r="B2" s="12"/>
      <c r="C2" s="12"/>
      <c r="D2" s="12"/>
      <c r="E2" s="12"/>
      <c r="F2" s="12"/>
      <c r="G2" s="12"/>
      <c r="H2" s="12"/>
      <c r="I2" s="12"/>
      <c r="J2" s="12"/>
      <c r="K2" s="12"/>
      <c r="L2" s="12"/>
      <c r="M2" s="12"/>
      <c r="N2" s="12"/>
      <c r="O2" s="12"/>
      <c r="P2" s="12"/>
      <c r="Q2" s="12"/>
      <c r="R2" s="12"/>
      <c r="S2" s="12"/>
      <c r="T2" s="12"/>
      <c r="U2" s="12"/>
      <c r="V2" s="12"/>
      <c r="W2" s="12"/>
    </row>
    <row r="3" spans="1:23" s="16" customFormat="1" x14ac:dyDescent="0.25">
      <c r="A3" s="12"/>
      <c r="B3" s="12"/>
      <c r="C3" s="12"/>
      <c r="D3" s="12"/>
      <c r="E3" s="12"/>
      <c r="F3" s="12"/>
      <c r="G3" s="12"/>
      <c r="H3" s="12"/>
      <c r="I3" s="12"/>
      <c r="J3" s="12"/>
      <c r="K3" s="12"/>
      <c r="L3" s="12"/>
      <c r="M3" s="12"/>
      <c r="N3" s="12"/>
      <c r="O3" s="12"/>
      <c r="P3" s="12"/>
      <c r="Q3" s="12"/>
      <c r="R3" s="12"/>
      <c r="S3" s="12"/>
      <c r="T3" s="12"/>
      <c r="U3" s="12"/>
      <c r="V3" s="12"/>
      <c r="W3" s="12"/>
    </row>
    <row r="4" spans="1:23" s="16" customFormat="1" x14ac:dyDescent="0.25">
      <c r="A4" s="12"/>
      <c r="B4" s="12"/>
      <c r="C4" s="12"/>
      <c r="D4" s="12"/>
      <c r="E4" s="12"/>
      <c r="F4" s="12"/>
      <c r="G4" s="12"/>
      <c r="H4" s="12"/>
      <c r="I4" s="12"/>
      <c r="J4" s="12"/>
      <c r="K4" s="12"/>
      <c r="L4" s="12"/>
      <c r="M4" s="12"/>
      <c r="N4" s="12"/>
      <c r="O4" s="12"/>
      <c r="P4" s="12"/>
      <c r="Q4" s="12"/>
      <c r="R4" s="12"/>
      <c r="S4" s="12"/>
      <c r="T4" s="12"/>
      <c r="U4" s="12"/>
      <c r="V4" s="12"/>
      <c r="W4" s="12"/>
    </row>
    <row r="5" spans="1:23" s="16" customFormat="1" x14ac:dyDescent="0.25">
      <c r="A5" s="12"/>
      <c r="B5" s="12"/>
      <c r="C5" s="12"/>
      <c r="D5" s="12"/>
      <c r="E5" s="12"/>
      <c r="F5" s="12"/>
      <c r="G5" s="12"/>
      <c r="H5" s="12"/>
      <c r="I5" s="12"/>
      <c r="J5" s="12"/>
      <c r="K5" s="12"/>
      <c r="L5" s="12"/>
      <c r="M5" s="12"/>
      <c r="N5" s="12"/>
      <c r="O5" s="12"/>
      <c r="P5" s="12"/>
      <c r="Q5" s="12"/>
      <c r="R5" s="12"/>
      <c r="S5" s="12"/>
      <c r="T5" s="12"/>
      <c r="U5" s="12"/>
      <c r="V5" s="12"/>
      <c r="W5" s="12"/>
    </row>
    <row r="6" spans="1:23" s="16" customFormat="1" x14ac:dyDescent="0.25">
      <c r="A6" s="12">
        <f>GETPIVOTDATA("Workout (min)",PT_WorkoutTrend!$A$3)</f>
        <v>915</v>
      </c>
      <c r="B6" s="12"/>
      <c r="C6" s="12"/>
      <c r="D6" s="12"/>
      <c r="E6" s="12"/>
      <c r="F6" s="12"/>
      <c r="G6" s="12"/>
      <c r="H6" s="12"/>
      <c r="I6" s="12">
        <f>GETPIVOTDATA("Steps",PT_StepsTrend!$A$3)</f>
        <v>221234</v>
      </c>
      <c r="J6" s="12"/>
      <c r="K6" s="12"/>
      <c r="L6" s="12"/>
      <c r="M6" s="12"/>
      <c r="N6" s="12"/>
      <c r="O6" s="12"/>
      <c r="P6" s="12"/>
      <c r="Q6" s="12">
        <f>GETPIVOTDATA("Calories Burned",PT_CaloriesBurned!$A$3)</f>
        <v>56522</v>
      </c>
      <c r="R6" s="12"/>
      <c r="S6" s="12"/>
      <c r="T6" s="12"/>
      <c r="U6" s="12"/>
      <c r="V6" s="12"/>
      <c r="W6" s="12"/>
    </row>
    <row r="7" spans="1:23" s="16" customFormat="1" x14ac:dyDescent="0.25">
      <c r="A7" s="12"/>
      <c r="B7" s="12"/>
      <c r="C7" s="12"/>
      <c r="D7" s="12"/>
      <c r="E7" s="12"/>
      <c r="F7" s="12"/>
      <c r="G7" s="12"/>
      <c r="H7" s="12"/>
      <c r="I7" s="12"/>
      <c r="J7" s="12"/>
      <c r="K7" s="12"/>
      <c r="L7" s="12"/>
      <c r="M7" s="12"/>
      <c r="N7" s="12"/>
      <c r="O7" s="12"/>
      <c r="P7" s="12"/>
      <c r="Q7" s="12"/>
      <c r="R7" s="12"/>
      <c r="S7" s="12"/>
      <c r="T7" s="12"/>
      <c r="U7" s="12"/>
      <c r="V7" s="12"/>
      <c r="W7" s="12"/>
    </row>
    <row r="8" spans="1:23" s="16" customFormat="1" x14ac:dyDescent="0.25">
      <c r="A8" s="12"/>
      <c r="B8" s="12"/>
      <c r="C8" s="12"/>
      <c r="D8" s="12"/>
      <c r="E8" s="12"/>
      <c r="F8" s="12"/>
      <c r="G8" s="12"/>
      <c r="H8" s="12"/>
      <c r="I8" s="12"/>
      <c r="J8" s="12"/>
      <c r="K8" s="12"/>
      <c r="L8" s="12"/>
      <c r="M8" s="12"/>
      <c r="N8" s="12"/>
      <c r="O8" s="12"/>
      <c r="P8" s="12"/>
      <c r="Q8" s="12"/>
      <c r="R8" s="12"/>
      <c r="S8" s="12"/>
      <c r="T8" s="12"/>
      <c r="U8" s="12"/>
      <c r="V8" s="12"/>
      <c r="W8" s="12"/>
    </row>
    <row r="9" spans="1:23" s="16" customFormat="1" x14ac:dyDescent="0.25">
      <c r="A9" s="12"/>
      <c r="B9" s="12"/>
      <c r="C9" s="12"/>
      <c r="D9" s="12"/>
      <c r="E9" s="12"/>
      <c r="F9" s="12"/>
      <c r="G9" s="12"/>
      <c r="H9" s="12"/>
      <c r="I9" s="12"/>
      <c r="J9" s="12"/>
      <c r="K9" s="12"/>
      <c r="L9" s="12"/>
      <c r="M9" s="12"/>
      <c r="N9" s="12"/>
      <c r="O9" s="12"/>
      <c r="P9" s="12"/>
      <c r="Q9" s="12"/>
      <c r="R9" s="12"/>
      <c r="S9" s="12"/>
      <c r="T9" s="12"/>
      <c r="U9" s="12"/>
      <c r="V9" s="12"/>
      <c r="W9" s="12"/>
    </row>
    <row r="10" spans="1:23" s="16" customFormat="1" x14ac:dyDescent="0.25">
      <c r="A10" s="12"/>
      <c r="B10" s="12"/>
      <c r="C10" s="12"/>
      <c r="D10" s="12"/>
      <c r="E10" s="12"/>
      <c r="F10" s="12"/>
      <c r="G10" s="12"/>
      <c r="H10" s="12"/>
      <c r="I10" s="12"/>
      <c r="J10" s="12"/>
      <c r="K10" s="12"/>
      <c r="L10" s="12"/>
      <c r="M10" s="12"/>
      <c r="N10" s="12"/>
      <c r="O10" s="12"/>
      <c r="P10" s="12"/>
      <c r="Q10" s="12"/>
      <c r="R10" s="12"/>
      <c r="S10" s="12"/>
      <c r="T10" s="12"/>
      <c r="U10" s="12"/>
      <c r="V10" s="12"/>
      <c r="W10" s="12"/>
    </row>
    <row r="11" spans="1:23" s="16" customFormat="1" x14ac:dyDescent="0.25">
      <c r="A11" s="12"/>
      <c r="B11" s="12"/>
      <c r="C11" s="12"/>
      <c r="D11" s="12"/>
      <c r="E11" s="12"/>
      <c r="F11" s="12"/>
      <c r="G11" s="12"/>
      <c r="H11" s="12"/>
      <c r="I11" s="12"/>
      <c r="J11" s="12"/>
      <c r="K11" s="12"/>
      <c r="L11" s="12"/>
      <c r="M11" s="12"/>
      <c r="N11" s="12"/>
      <c r="O11" s="12"/>
      <c r="P11" s="12"/>
      <c r="Q11" s="12"/>
      <c r="R11" s="12"/>
      <c r="S11" s="12"/>
      <c r="T11" s="12"/>
      <c r="U11" s="12"/>
      <c r="V11" s="12"/>
      <c r="W11" s="12"/>
    </row>
    <row r="12" spans="1:23" s="16" customFormat="1" x14ac:dyDescent="0.25">
      <c r="A12" s="12"/>
      <c r="B12" s="12"/>
      <c r="C12" s="12"/>
      <c r="D12" s="12"/>
      <c r="E12" s="12"/>
      <c r="F12" s="12"/>
      <c r="G12" s="12"/>
      <c r="H12" s="12"/>
      <c r="I12" s="12"/>
      <c r="J12" s="12"/>
      <c r="K12" s="12"/>
      <c r="L12" s="12"/>
      <c r="M12" s="12"/>
      <c r="N12" s="12"/>
      <c r="O12" s="12"/>
      <c r="P12" s="12"/>
      <c r="Q12" s="12"/>
      <c r="R12" s="12"/>
      <c r="S12" s="12"/>
      <c r="T12" s="12"/>
      <c r="U12" s="12"/>
      <c r="V12" s="12"/>
      <c r="W12" s="12"/>
    </row>
    <row r="13" spans="1:23" s="16" customFormat="1" x14ac:dyDescent="0.25">
      <c r="A13" s="12"/>
      <c r="B13" s="12"/>
      <c r="C13" s="12"/>
      <c r="D13" s="12"/>
      <c r="E13" s="12"/>
      <c r="F13" s="12"/>
      <c r="G13" s="12"/>
      <c r="H13" s="12"/>
      <c r="I13" s="12"/>
      <c r="J13" s="12"/>
      <c r="K13" s="12"/>
      <c r="L13" s="12"/>
      <c r="M13" s="12"/>
      <c r="N13" s="12"/>
      <c r="O13" s="12"/>
      <c r="P13" s="12"/>
      <c r="Q13" s="12"/>
      <c r="R13" s="12"/>
      <c r="S13" s="12"/>
      <c r="T13" s="12"/>
      <c r="U13" s="12"/>
      <c r="V13" s="12"/>
      <c r="W13" s="12"/>
    </row>
    <row r="14" spans="1:23" s="16" customFormat="1" x14ac:dyDescent="0.25">
      <c r="A14" s="12"/>
      <c r="B14" s="12"/>
      <c r="C14" s="12"/>
      <c r="D14" s="12"/>
      <c r="E14" s="12"/>
      <c r="F14" s="12"/>
      <c r="G14" s="12"/>
      <c r="H14" s="12"/>
      <c r="I14" s="12"/>
      <c r="J14" s="12"/>
      <c r="K14" s="12"/>
      <c r="L14" s="12"/>
      <c r="M14" s="12"/>
      <c r="N14" s="12"/>
      <c r="O14" s="12"/>
      <c r="P14" s="12"/>
      <c r="Q14" s="12"/>
      <c r="R14" s="12"/>
      <c r="S14" s="12"/>
      <c r="T14" s="12"/>
      <c r="U14" s="12"/>
      <c r="V14" s="12"/>
      <c r="W14" s="12"/>
    </row>
    <row r="15" spans="1:23" s="16" customFormat="1" x14ac:dyDescent="0.25">
      <c r="A15" s="12"/>
      <c r="B15" s="12"/>
      <c r="C15" s="12"/>
      <c r="D15" s="12"/>
      <c r="E15" s="12"/>
      <c r="F15" s="12"/>
      <c r="G15" s="12"/>
      <c r="H15" s="12"/>
      <c r="I15" s="12"/>
      <c r="J15" s="12"/>
      <c r="K15" s="12"/>
      <c r="L15" s="12"/>
      <c r="M15" s="12"/>
      <c r="N15" s="12"/>
      <c r="O15" s="12"/>
      <c r="P15" s="12"/>
      <c r="Q15" s="12"/>
      <c r="R15" s="12"/>
      <c r="S15" s="12"/>
      <c r="T15" s="12"/>
      <c r="U15" s="12"/>
      <c r="V15" s="12"/>
      <c r="W15" s="12"/>
    </row>
    <row r="16" spans="1:23" s="16" customFormat="1" x14ac:dyDescent="0.25">
      <c r="A16" s="13">
        <f>AVERAGE(Fitness_Tracker!E:E)</f>
        <v>2.8366666666666669</v>
      </c>
      <c r="B16" s="12"/>
      <c r="C16" s="12"/>
      <c r="D16" s="12"/>
      <c r="E16" s="12"/>
      <c r="F16" s="12"/>
      <c r="G16" s="12"/>
      <c r="H16" s="12"/>
      <c r="I16" s="14">
        <f>AVERAGE(Fitness_Tracker!F:F)</f>
        <v>6.9399999999999986</v>
      </c>
      <c r="J16" s="12"/>
      <c r="K16" s="12"/>
      <c r="L16" s="12"/>
      <c r="M16" s="12"/>
      <c r="N16" s="12"/>
      <c r="O16" s="12"/>
      <c r="P16" s="12"/>
      <c r="Q16" s="14" cm="1">
        <f t="array" ref="Q16:Q17">PT_HabitRate!B4:B5*100</f>
        <v>48.387096774193552</v>
      </c>
      <c r="R16" s="12"/>
      <c r="S16" s="12"/>
      <c r="T16" s="12"/>
      <c r="U16" s="12"/>
      <c r="V16" s="12"/>
      <c r="W16" s="12"/>
    </row>
    <row r="17" spans="1:23" s="16" customFormat="1" x14ac:dyDescent="0.25">
      <c r="A17" s="12"/>
      <c r="B17" s="12"/>
      <c r="C17" s="12"/>
      <c r="D17" s="12"/>
      <c r="E17" s="12"/>
      <c r="F17" s="12"/>
      <c r="G17" s="12"/>
      <c r="H17" s="12"/>
      <c r="I17" s="12"/>
      <c r="J17" s="12"/>
      <c r="K17" s="12"/>
      <c r="L17" s="12"/>
      <c r="M17" s="12"/>
      <c r="N17" s="12"/>
      <c r="O17" s="12"/>
      <c r="P17" s="12"/>
      <c r="Q17" s="12">
        <v>51.612903225806448</v>
      </c>
      <c r="R17" s="12"/>
      <c r="S17" s="12"/>
      <c r="T17" s="12"/>
      <c r="U17" s="12"/>
      <c r="V17" s="12"/>
      <c r="W17" s="12"/>
    </row>
    <row r="18" spans="1:23" s="16" customFormat="1" x14ac:dyDescent="0.25">
      <c r="A18" s="12"/>
      <c r="B18" s="12"/>
      <c r="C18" s="12"/>
      <c r="D18" s="12"/>
      <c r="E18" s="12"/>
      <c r="F18" s="12"/>
      <c r="G18" s="12"/>
      <c r="H18" s="12"/>
      <c r="I18" s="12"/>
      <c r="J18" s="12"/>
      <c r="K18" s="12"/>
      <c r="L18" s="12"/>
      <c r="M18" s="12"/>
      <c r="N18" s="12"/>
      <c r="O18" s="12"/>
      <c r="P18" s="12"/>
      <c r="Q18" s="12"/>
      <c r="R18" s="12"/>
      <c r="S18" s="12"/>
      <c r="T18" s="12"/>
      <c r="U18" s="12"/>
      <c r="V18" s="12"/>
      <c r="W18" s="12"/>
    </row>
    <row r="19" spans="1:23" s="16" customFormat="1" x14ac:dyDescent="0.25">
      <c r="A19" s="12"/>
      <c r="B19" s="12"/>
      <c r="C19" s="12"/>
      <c r="D19" s="12"/>
      <c r="E19" s="12"/>
      <c r="F19" s="12"/>
      <c r="G19" s="12"/>
      <c r="H19" s="12"/>
      <c r="I19" s="12"/>
      <c r="J19" s="12"/>
      <c r="K19" s="12"/>
      <c r="L19" s="12"/>
      <c r="M19" s="12"/>
      <c r="N19" s="12"/>
      <c r="O19" s="12"/>
      <c r="P19" s="12"/>
      <c r="Q19" s="12"/>
      <c r="R19" s="12"/>
      <c r="S19" s="12"/>
      <c r="T19" s="12"/>
      <c r="U19" s="12"/>
      <c r="V19" s="12"/>
      <c r="W19" s="12"/>
    </row>
    <row r="20" spans="1:23" s="16" customFormat="1" x14ac:dyDescent="0.25">
      <c r="A20" s="12"/>
      <c r="B20" s="12"/>
      <c r="C20" s="12"/>
      <c r="D20" s="12"/>
      <c r="E20" s="12"/>
      <c r="F20" s="12"/>
      <c r="G20" s="12"/>
      <c r="H20" s="12"/>
      <c r="I20" s="12"/>
      <c r="J20" s="12"/>
      <c r="K20" s="12"/>
      <c r="L20" s="12"/>
      <c r="M20" s="12"/>
      <c r="N20" s="12"/>
      <c r="O20" s="12"/>
      <c r="P20" s="12"/>
      <c r="Q20" s="12"/>
      <c r="R20" s="12"/>
      <c r="S20" s="12"/>
      <c r="T20" s="12"/>
      <c r="U20" s="12"/>
      <c r="V20" s="12"/>
      <c r="W20" s="12"/>
    </row>
    <row r="21" spans="1:23" s="16" customFormat="1" x14ac:dyDescent="0.25">
      <c r="A21" s="12"/>
      <c r="B21" s="12"/>
      <c r="C21" s="12"/>
      <c r="D21" s="12"/>
      <c r="E21" s="12"/>
      <c r="F21" s="12"/>
      <c r="G21" s="12"/>
      <c r="H21" s="12"/>
      <c r="I21" s="12"/>
      <c r="J21" s="12"/>
      <c r="K21" s="12"/>
      <c r="L21" s="12"/>
      <c r="M21" s="12"/>
      <c r="N21" s="12"/>
      <c r="O21" s="12"/>
      <c r="P21" s="12"/>
      <c r="Q21" s="12"/>
      <c r="R21" s="12"/>
      <c r="S21" s="12"/>
      <c r="T21" s="12"/>
      <c r="U21" s="12"/>
      <c r="V21" s="12"/>
      <c r="W21" s="12"/>
    </row>
    <row r="22" spans="1:23" s="16" customFormat="1" x14ac:dyDescent="0.25">
      <c r="A22" s="12"/>
      <c r="B22" s="12"/>
      <c r="C22" s="12"/>
      <c r="D22" s="12"/>
      <c r="E22" s="12"/>
      <c r="F22" s="12"/>
      <c r="G22" s="12"/>
      <c r="H22" s="12"/>
      <c r="I22" s="12"/>
      <c r="J22" s="12"/>
      <c r="K22" s="12"/>
      <c r="L22" s="12"/>
      <c r="M22" s="12"/>
      <c r="N22" s="12"/>
      <c r="O22" s="12"/>
      <c r="P22" s="12"/>
      <c r="Q22" s="12"/>
      <c r="R22" s="12"/>
      <c r="S22" s="12"/>
      <c r="T22" s="12"/>
      <c r="U22" s="12"/>
      <c r="V22" s="12"/>
      <c r="W22" s="12"/>
    </row>
    <row r="23" spans="1:23" s="16" customFormat="1" x14ac:dyDescent="0.25">
      <c r="A23" s="12"/>
      <c r="B23" s="12"/>
      <c r="C23" s="12"/>
      <c r="D23" s="12"/>
      <c r="E23" s="12"/>
      <c r="F23" s="12"/>
      <c r="G23" s="12"/>
      <c r="H23" s="12"/>
      <c r="I23" s="12"/>
      <c r="J23" s="12"/>
      <c r="K23" s="12"/>
      <c r="L23" s="12"/>
      <c r="M23" s="12"/>
      <c r="N23" s="12"/>
      <c r="O23" s="12"/>
      <c r="P23" s="12"/>
      <c r="Q23" s="12"/>
      <c r="R23" s="12"/>
      <c r="S23" s="12"/>
      <c r="T23" s="12"/>
      <c r="U23" s="12"/>
      <c r="V23" s="12"/>
      <c r="W23" s="12"/>
    </row>
    <row r="24" spans="1:23" s="16" customFormat="1" x14ac:dyDescent="0.25">
      <c r="A24" s="12"/>
      <c r="B24" s="12"/>
      <c r="C24" s="12"/>
      <c r="D24" s="12"/>
      <c r="E24" s="12"/>
      <c r="F24" s="12"/>
      <c r="G24" s="12"/>
      <c r="H24" s="12"/>
      <c r="I24" s="12"/>
      <c r="J24" s="12"/>
      <c r="K24" s="12"/>
      <c r="L24" s="12"/>
      <c r="M24" s="12"/>
      <c r="N24" s="12"/>
      <c r="O24" s="12"/>
      <c r="P24" s="12"/>
      <c r="Q24" s="12"/>
      <c r="R24" s="12"/>
      <c r="S24" s="12"/>
      <c r="T24" s="12"/>
      <c r="U24" s="12"/>
      <c r="V24" s="12"/>
      <c r="W24" s="12"/>
    </row>
    <row r="25" spans="1:23" s="16" customFormat="1" x14ac:dyDescent="0.25">
      <c r="A25" s="12"/>
      <c r="B25" s="12"/>
      <c r="C25" s="12"/>
      <c r="D25" s="12"/>
      <c r="E25" s="12"/>
      <c r="F25" s="12"/>
      <c r="G25" s="12"/>
      <c r="H25" s="12"/>
      <c r="I25" s="12"/>
      <c r="J25" s="12"/>
      <c r="K25" s="12"/>
      <c r="L25" s="12"/>
      <c r="M25" s="12"/>
      <c r="N25" s="12"/>
      <c r="O25" s="12"/>
      <c r="P25" s="12"/>
      <c r="Q25" s="12"/>
      <c r="R25" s="12"/>
      <c r="S25" s="12"/>
      <c r="T25" s="12"/>
      <c r="U25" s="12"/>
      <c r="V25" s="12"/>
      <c r="W25" s="12"/>
    </row>
    <row r="26" spans="1:23" s="16" customFormat="1" x14ac:dyDescent="0.25">
      <c r="A26" s="12"/>
      <c r="B26" s="12"/>
      <c r="C26" s="12"/>
      <c r="D26" s="12"/>
      <c r="E26" s="12"/>
      <c r="F26" s="12"/>
      <c r="G26" s="12"/>
      <c r="H26" s="12"/>
      <c r="I26" s="12"/>
      <c r="J26" s="12"/>
      <c r="K26" s="12"/>
      <c r="L26" s="12"/>
      <c r="M26" s="12"/>
      <c r="N26" s="12"/>
      <c r="O26" s="12"/>
      <c r="P26" s="12"/>
      <c r="Q26" s="12"/>
      <c r="R26" s="12"/>
      <c r="S26" s="12"/>
      <c r="T26" s="12"/>
      <c r="U26" s="12"/>
      <c r="V26" s="12"/>
      <c r="W26" s="12"/>
    </row>
    <row r="27" spans="1:23" s="16" customFormat="1" x14ac:dyDescent="0.25">
      <c r="A27" s="12"/>
      <c r="B27" s="12"/>
      <c r="C27" s="12"/>
      <c r="D27" s="12"/>
      <c r="E27" s="12"/>
      <c r="F27" s="12"/>
      <c r="G27" s="12"/>
      <c r="H27" s="12"/>
      <c r="I27" s="12"/>
      <c r="J27" s="12"/>
      <c r="K27" s="12"/>
      <c r="L27" s="12"/>
      <c r="M27" s="12"/>
      <c r="N27" s="12"/>
      <c r="O27" s="12"/>
      <c r="P27" s="12"/>
      <c r="Q27" s="12"/>
      <c r="R27" s="12"/>
      <c r="S27" s="12"/>
      <c r="T27" s="12"/>
      <c r="U27" s="12"/>
      <c r="V27" s="12"/>
      <c r="W27" s="12"/>
    </row>
    <row r="28" spans="1:23" s="16" customFormat="1" x14ac:dyDescent="0.25">
      <c r="A28" s="12"/>
      <c r="B28" s="12"/>
      <c r="C28" s="12"/>
      <c r="D28" s="12"/>
      <c r="E28" s="12"/>
      <c r="F28" s="12"/>
      <c r="G28" s="12"/>
      <c r="H28" s="12"/>
      <c r="I28" s="12"/>
      <c r="J28" s="12"/>
      <c r="K28" s="12"/>
      <c r="L28" s="12"/>
      <c r="M28" s="12"/>
      <c r="N28" s="12"/>
      <c r="O28" s="12"/>
      <c r="P28" s="12"/>
      <c r="Q28" s="12"/>
      <c r="R28" s="12"/>
      <c r="S28" s="12"/>
      <c r="T28" s="12"/>
      <c r="U28" s="12"/>
      <c r="V28" s="12"/>
      <c r="W28" s="12"/>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D360A-CA5D-465B-AB2E-513B319A6C2D}">
  <dimension ref="A1:J61"/>
  <sheetViews>
    <sheetView workbookViewId="0">
      <selection sqref="A1:J61"/>
    </sheetView>
  </sheetViews>
  <sheetFormatPr defaultRowHeight="15" x14ac:dyDescent="0.25"/>
  <cols>
    <col min="1" max="1" width="10.42578125" style="2" bestFit="1" customWidth="1"/>
    <col min="2" max="2" width="14.42578125" style="4" bestFit="1" customWidth="1"/>
    <col min="3" max="3" width="9.5703125" style="4" bestFit="1" customWidth="1"/>
    <col min="4" max="4" width="15.42578125" style="4" bestFit="1" customWidth="1"/>
    <col min="5" max="5" width="15.28515625" style="3" bestFit="1" customWidth="1"/>
    <col min="6" max="6" width="10.5703125" style="3" bestFit="1" customWidth="1"/>
    <col min="7" max="7" width="16.140625" style="5" bestFit="1" customWidth="1"/>
  </cols>
  <sheetData>
    <row r="1" spans="1:10" x14ac:dyDescent="0.25">
      <c r="A1" s="2" t="s">
        <v>0</v>
      </c>
      <c r="B1" s="4" t="s">
        <v>1</v>
      </c>
      <c r="C1" s="4" t="s">
        <v>2</v>
      </c>
      <c r="D1" s="4" t="s">
        <v>3</v>
      </c>
      <c r="E1" s="3" t="s">
        <v>4</v>
      </c>
      <c r="F1" s="3" t="s">
        <v>5</v>
      </c>
      <c r="G1" s="5" t="s">
        <v>6</v>
      </c>
      <c r="H1" t="s">
        <v>9</v>
      </c>
      <c r="I1" t="s">
        <v>10</v>
      </c>
      <c r="J1" t="s">
        <v>11</v>
      </c>
    </row>
    <row r="2" spans="1:10" x14ac:dyDescent="0.25">
      <c r="A2" s="2">
        <v>45658</v>
      </c>
      <c r="B2" s="4">
        <v>45</v>
      </c>
      <c r="C2" s="4">
        <v>10758</v>
      </c>
      <c r="D2" s="4">
        <v>1850</v>
      </c>
      <c r="E2" s="3">
        <v>4</v>
      </c>
      <c r="F2" s="3">
        <v>6.2</v>
      </c>
      <c r="G2" s="5" t="s">
        <v>7</v>
      </c>
    </row>
    <row r="3" spans="1:10" x14ac:dyDescent="0.25">
      <c r="A3" s="2">
        <v>45659</v>
      </c>
      <c r="B3" s="4">
        <v>0</v>
      </c>
      <c r="C3" s="4">
        <v>3056</v>
      </c>
      <c r="D3" s="4">
        <v>2408</v>
      </c>
      <c r="E3" s="3">
        <v>3.3</v>
      </c>
      <c r="F3" s="3">
        <v>7.3</v>
      </c>
      <c r="G3" s="5" t="s">
        <v>7</v>
      </c>
    </row>
    <row r="4" spans="1:10" x14ac:dyDescent="0.25">
      <c r="A4" s="2">
        <v>45660</v>
      </c>
      <c r="B4" s="4">
        <v>60</v>
      </c>
      <c r="C4" s="4">
        <v>3461</v>
      </c>
      <c r="D4" s="4">
        <v>1625</v>
      </c>
      <c r="E4" s="3">
        <v>1.8</v>
      </c>
      <c r="F4" s="3">
        <v>8.5</v>
      </c>
      <c r="G4" s="5" t="s">
        <v>7</v>
      </c>
    </row>
    <row r="5" spans="1:10" x14ac:dyDescent="0.25">
      <c r="A5" s="2">
        <v>45661</v>
      </c>
      <c r="B5" s="4">
        <v>20</v>
      </c>
      <c r="C5" s="4">
        <v>3467</v>
      </c>
      <c r="D5" s="4">
        <v>2289</v>
      </c>
      <c r="E5" s="3">
        <v>1.6</v>
      </c>
      <c r="F5" s="3">
        <v>8</v>
      </c>
      <c r="G5" s="5" t="s">
        <v>8</v>
      </c>
    </row>
    <row r="6" spans="1:10" x14ac:dyDescent="0.25">
      <c r="A6" s="2">
        <v>45662</v>
      </c>
      <c r="B6" s="4">
        <v>45</v>
      </c>
      <c r="C6" s="4">
        <v>8211</v>
      </c>
      <c r="D6" s="4">
        <v>2034</v>
      </c>
      <c r="E6" s="3">
        <v>2.7</v>
      </c>
      <c r="F6" s="3">
        <v>6.7</v>
      </c>
      <c r="G6" s="5" t="s">
        <v>8</v>
      </c>
    </row>
    <row r="7" spans="1:10" x14ac:dyDescent="0.25">
      <c r="A7" s="2">
        <v>45663</v>
      </c>
      <c r="B7" s="4">
        <v>30</v>
      </c>
      <c r="C7" s="4">
        <v>9383</v>
      </c>
      <c r="D7" s="4">
        <v>1369</v>
      </c>
      <c r="E7" s="3">
        <v>3.6</v>
      </c>
      <c r="F7" s="3">
        <v>8.3000000000000007</v>
      </c>
      <c r="G7" s="5" t="s">
        <v>7</v>
      </c>
    </row>
    <row r="8" spans="1:10" x14ac:dyDescent="0.25">
      <c r="A8" s="2">
        <v>45664</v>
      </c>
      <c r="B8" s="4">
        <v>20</v>
      </c>
      <c r="C8" s="4">
        <v>9833</v>
      </c>
      <c r="D8" s="4">
        <v>1584</v>
      </c>
      <c r="E8" s="3">
        <v>1.7</v>
      </c>
      <c r="F8" s="3">
        <v>7.1</v>
      </c>
      <c r="G8" s="5" t="s">
        <v>7</v>
      </c>
    </row>
    <row r="9" spans="1:10" x14ac:dyDescent="0.25">
      <c r="A9" s="2">
        <v>45665</v>
      </c>
      <c r="B9" s="4">
        <v>60</v>
      </c>
      <c r="C9" s="4">
        <v>3595</v>
      </c>
      <c r="D9" s="4">
        <v>1519</v>
      </c>
      <c r="E9" s="3">
        <v>3.7</v>
      </c>
      <c r="F9" s="3">
        <v>7.3</v>
      </c>
      <c r="G9" s="5" t="s">
        <v>8</v>
      </c>
    </row>
    <row r="10" spans="1:10" x14ac:dyDescent="0.25">
      <c r="A10" s="2">
        <v>45666</v>
      </c>
      <c r="B10" s="4">
        <v>45</v>
      </c>
      <c r="C10" s="4">
        <v>6862</v>
      </c>
      <c r="D10" s="4">
        <v>1258</v>
      </c>
      <c r="E10" s="3">
        <v>2.4</v>
      </c>
      <c r="F10" s="3">
        <v>7.1</v>
      </c>
      <c r="G10" s="5" t="s">
        <v>7</v>
      </c>
    </row>
    <row r="11" spans="1:10" x14ac:dyDescent="0.25">
      <c r="A11" s="2">
        <v>45667</v>
      </c>
      <c r="B11" s="4">
        <v>60</v>
      </c>
      <c r="C11" s="4">
        <v>6826</v>
      </c>
      <c r="D11" s="4">
        <v>1933</v>
      </c>
      <c r="E11" s="3">
        <v>2</v>
      </c>
      <c r="F11" s="3">
        <v>6.5</v>
      </c>
      <c r="G11" s="5" t="s">
        <v>7</v>
      </c>
    </row>
    <row r="12" spans="1:10" x14ac:dyDescent="0.25">
      <c r="A12" s="2">
        <v>45668</v>
      </c>
      <c r="B12" s="4">
        <v>30</v>
      </c>
      <c r="C12" s="4">
        <v>10988</v>
      </c>
      <c r="D12" s="4">
        <v>1416</v>
      </c>
      <c r="E12" s="3">
        <v>3.4</v>
      </c>
      <c r="F12" s="3">
        <v>6.1</v>
      </c>
      <c r="G12" s="5" t="s">
        <v>7</v>
      </c>
    </row>
    <row r="13" spans="1:10" x14ac:dyDescent="0.25">
      <c r="A13" s="2">
        <v>45669</v>
      </c>
      <c r="B13" s="4">
        <v>30</v>
      </c>
      <c r="C13" s="4">
        <v>7839</v>
      </c>
      <c r="D13" s="4">
        <v>2096</v>
      </c>
      <c r="E13" s="3">
        <v>2.9</v>
      </c>
      <c r="F13" s="3">
        <v>7.2</v>
      </c>
      <c r="G13" s="5" t="s">
        <v>7</v>
      </c>
    </row>
    <row r="14" spans="1:10" x14ac:dyDescent="0.25">
      <c r="A14" s="2">
        <v>45670</v>
      </c>
      <c r="B14" s="4">
        <v>30</v>
      </c>
      <c r="C14" s="4">
        <v>7130</v>
      </c>
      <c r="D14" s="4">
        <v>1312</v>
      </c>
      <c r="E14" s="3">
        <v>3.6</v>
      </c>
      <c r="F14" s="3">
        <v>5.6</v>
      </c>
      <c r="G14" s="5" t="s">
        <v>8</v>
      </c>
    </row>
    <row r="15" spans="1:10" x14ac:dyDescent="0.25">
      <c r="A15" s="2">
        <v>45671</v>
      </c>
      <c r="B15" s="4">
        <v>0</v>
      </c>
      <c r="C15" s="4">
        <v>6866</v>
      </c>
      <c r="D15" s="4">
        <v>1580</v>
      </c>
      <c r="E15" s="3">
        <v>2.8</v>
      </c>
      <c r="F15" s="3">
        <v>7.1</v>
      </c>
      <c r="G15" s="5" t="s">
        <v>8</v>
      </c>
    </row>
    <row r="16" spans="1:10" x14ac:dyDescent="0.25">
      <c r="A16" s="2">
        <v>45672</v>
      </c>
      <c r="B16" s="4">
        <v>20</v>
      </c>
      <c r="C16" s="4">
        <v>2466</v>
      </c>
      <c r="D16" s="4">
        <v>1974</v>
      </c>
      <c r="E16" s="3">
        <v>3.5</v>
      </c>
      <c r="F16" s="3">
        <v>7.4</v>
      </c>
      <c r="G16" s="5" t="s">
        <v>8</v>
      </c>
    </row>
    <row r="17" spans="1:7" x14ac:dyDescent="0.25">
      <c r="A17" s="2">
        <v>45673</v>
      </c>
      <c r="B17" s="4">
        <v>30</v>
      </c>
      <c r="C17" s="4">
        <v>11784</v>
      </c>
      <c r="D17" s="4">
        <v>1395</v>
      </c>
      <c r="E17" s="3">
        <v>2.5</v>
      </c>
      <c r="F17" s="3">
        <v>7.8</v>
      </c>
      <c r="G17" s="5" t="s">
        <v>8</v>
      </c>
    </row>
    <row r="18" spans="1:7" x14ac:dyDescent="0.25">
      <c r="A18" s="2">
        <v>45674</v>
      </c>
      <c r="B18" s="4">
        <v>45</v>
      </c>
      <c r="C18" s="4">
        <v>5239</v>
      </c>
      <c r="D18" s="4">
        <v>2398</v>
      </c>
      <c r="E18" s="3">
        <v>2.1</v>
      </c>
      <c r="F18" s="3">
        <v>6.8</v>
      </c>
      <c r="G18" s="5" t="s">
        <v>7</v>
      </c>
    </row>
    <row r="19" spans="1:7" x14ac:dyDescent="0.25">
      <c r="A19" s="2">
        <v>45675</v>
      </c>
      <c r="B19" s="4">
        <v>0</v>
      </c>
      <c r="C19" s="4">
        <v>6436</v>
      </c>
      <c r="D19" s="4">
        <v>2204</v>
      </c>
      <c r="E19" s="3">
        <v>2.8</v>
      </c>
      <c r="F19" s="3">
        <v>7.7</v>
      </c>
      <c r="G19" s="5" t="s">
        <v>8</v>
      </c>
    </row>
    <row r="20" spans="1:7" x14ac:dyDescent="0.25">
      <c r="A20" s="2">
        <v>45676</v>
      </c>
      <c r="B20" s="4">
        <v>60</v>
      </c>
      <c r="C20" s="4">
        <v>4685</v>
      </c>
      <c r="D20" s="4">
        <v>2091</v>
      </c>
      <c r="E20" s="3">
        <v>2.2000000000000002</v>
      </c>
      <c r="F20" s="3">
        <v>5.7</v>
      </c>
      <c r="G20" s="5" t="s">
        <v>8</v>
      </c>
    </row>
    <row r="21" spans="1:7" x14ac:dyDescent="0.25">
      <c r="A21" s="2">
        <v>45677</v>
      </c>
      <c r="B21" s="4">
        <v>20</v>
      </c>
      <c r="C21" s="4">
        <v>4227</v>
      </c>
      <c r="D21" s="4">
        <v>1400</v>
      </c>
      <c r="E21" s="3">
        <v>2.6</v>
      </c>
      <c r="F21" s="3">
        <v>7.9</v>
      </c>
      <c r="G21" s="5" t="s">
        <v>8</v>
      </c>
    </row>
    <row r="22" spans="1:7" x14ac:dyDescent="0.25">
      <c r="A22" s="2">
        <v>45678</v>
      </c>
      <c r="B22" s="4">
        <v>0</v>
      </c>
      <c r="C22" s="4">
        <v>4453</v>
      </c>
      <c r="D22" s="4">
        <v>1564</v>
      </c>
      <c r="E22" s="3">
        <v>2</v>
      </c>
      <c r="F22" s="3">
        <v>6.6</v>
      </c>
      <c r="G22" s="5" t="s">
        <v>7</v>
      </c>
    </row>
    <row r="23" spans="1:7" x14ac:dyDescent="0.25">
      <c r="A23" s="2">
        <v>45679</v>
      </c>
      <c r="B23" s="4">
        <v>60</v>
      </c>
      <c r="C23" s="4">
        <v>9722</v>
      </c>
      <c r="D23" s="4">
        <v>1339</v>
      </c>
      <c r="E23" s="3">
        <v>3.6</v>
      </c>
      <c r="F23" s="3">
        <v>6</v>
      </c>
      <c r="G23" s="5" t="s">
        <v>8</v>
      </c>
    </row>
    <row r="24" spans="1:7" x14ac:dyDescent="0.25">
      <c r="A24" s="2">
        <v>45680</v>
      </c>
      <c r="B24" s="4">
        <v>45</v>
      </c>
      <c r="C24" s="4">
        <v>3432</v>
      </c>
      <c r="D24" s="4">
        <v>2456</v>
      </c>
      <c r="E24" s="3">
        <v>2.8</v>
      </c>
      <c r="F24" s="3">
        <v>7.1</v>
      </c>
      <c r="G24" s="5" t="s">
        <v>8</v>
      </c>
    </row>
    <row r="25" spans="1:7" x14ac:dyDescent="0.25">
      <c r="A25" s="2">
        <v>45681</v>
      </c>
      <c r="B25" s="4">
        <v>60</v>
      </c>
      <c r="C25" s="4">
        <v>4656</v>
      </c>
      <c r="D25" s="4">
        <v>2282</v>
      </c>
      <c r="E25" s="3">
        <v>1.8</v>
      </c>
      <c r="F25" s="3">
        <v>6.3</v>
      </c>
      <c r="G25" s="5" t="s">
        <v>8</v>
      </c>
    </row>
    <row r="26" spans="1:7" x14ac:dyDescent="0.25">
      <c r="A26" s="2">
        <v>45682</v>
      </c>
      <c r="B26" s="4">
        <v>0</v>
      </c>
      <c r="C26" s="4">
        <v>7671</v>
      </c>
      <c r="D26" s="4">
        <v>1404</v>
      </c>
      <c r="E26" s="3">
        <v>2.1</v>
      </c>
      <c r="F26" s="3">
        <v>7</v>
      </c>
      <c r="G26" s="5" t="s">
        <v>7</v>
      </c>
    </row>
    <row r="27" spans="1:7" x14ac:dyDescent="0.25">
      <c r="A27" s="2">
        <v>45683</v>
      </c>
      <c r="B27" s="4">
        <v>20</v>
      </c>
      <c r="C27" s="4">
        <v>7166</v>
      </c>
      <c r="D27" s="4">
        <v>2149</v>
      </c>
      <c r="E27" s="3">
        <v>3</v>
      </c>
      <c r="F27" s="3">
        <v>6.1</v>
      </c>
      <c r="G27" s="5" t="s">
        <v>7</v>
      </c>
    </row>
    <row r="28" spans="1:7" x14ac:dyDescent="0.25">
      <c r="A28" s="2">
        <v>45684</v>
      </c>
      <c r="B28" s="4">
        <v>20</v>
      </c>
      <c r="C28" s="4">
        <v>11704</v>
      </c>
      <c r="D28" s="4">
        <v>2303</v>
      </c>
      <c r="E28" s="3">
        <v>3</v>
      </c>
      <c r="F28" s="3">
        <v>6.6</v>
      </c>
      <c r="G28" s="5" t="s">
        <v>7</v>
      </c>
    </row>
    <row r="29" spans="1:7" x14ac:dyDescent="0.25">
      <c r="A29" s="2">
        <v>45685</v>
      </c>
      <c r="B29" s="4">
        <v>30</v>
      </c>
      <c r="C29" s="4">
        <v>8170</v>
      </c>
      <c r="D29" s="4">
        <v>1433</v>
      </c>
      <c r="E29" s="3">
        <v>2.9</v>
      </c>
      <c r="F29" s="3">
        <v>7.8</v>
      </c>
      <c r="G29" s="5" t="s">
        <v>8</v>
      </c>
    </row>
    <row r="30" spans="1:7" x14ac:dyDescent="0.25">
      <c r="A30" s="2">
        <v>45686</v>
      </c>
      <c r="B30" s="4">
        <v>0</v>
      </c>
      <c r="C30" s="4">
        <v>10773</v>
      </c>
      <c r="D30" s="4">
        <v>2437</v>
      </c>
      <c r="E30" s="3">
        <v>2.8</v>
      </c>
      <c r="F30" s="3">
        <v>8.4</v>
      </c>
      <c r="G30" s="5" t="s">
        <v>8</v>
      </c>
    </row>
    <row r="31" spans="1:7" x14ac:dyDescent="0.25">
      <c r="A31" s="2">
        <v>45687</v>
      </c>
      <c r="B31" s="4">
        <v>30</v>
      </c>
      <c r="C31" s="4">
        <v>10474</v>
      </c>
      <c r="D31" s="4">
        <v>2138</v>
      </c>
      <c r="E31" s="3">
        <v>4</v>
      </c>
      <c r="F31" s="3">
        <v>5.8</v>
      </c>
      <c r="G31" s="5" t="s">
        <v>7</v>
      </c>
    </row>
    <row r="32" spans="1:7" x14ac:dyDescent="0.25">
      <c r="A32" s="2">
        <v>45688</v>
      </c>
      <c r="B32" s="4">
        <v>0</v>
      </c>
      <c r="C32" s="4">
        <v>9901</v>
      </c>
      <c r="D32" s="4">
        <v>1282</v>
      </c>
      <c r="E32" s="3">
        <v>3.9</v>
      </c>
      <c r="F32" s="3">
        <v>6.2</v>
      </c>
      <c r="G32" s="5" t="s">
        <v>7</v>
      </c>
    </row>
    <row r="33" spans="1:7" x14ac:dyDescent="0.25">
      <c r="A33" s="2">
        <v>45689</v>
      </c>
      <c r="B33" s="4">
        <v>0</v>
      </c>
      <c r="C33" s="4">
        <v>7826</v>
      </c>
      <c r="D33" s="4">
        <v>2375</v>
      </c>
      <c r="E33" s="3">
        <v>3.6</v>
      </c>
      <c r="F33" s="3">
        <v>6.2</v>
      </c>
      <c r="G33" s="5" t="s">
        <v>7</v>
      </c>
    </row>
    <row r="34" spans="1:7" x14ac:dyDescent="0.25">
      <c r="A34" s="2">
        <v>45690</v>
      </c>
      <c r="B34" s="4">
        <v>20</v>
      </c>
      <c r="C34" s="4">
        <v>8673</v>
      </c>
      <c r="D34" s="4">
        <v>2410</v>
      </c>
      <c r="E34" s="3">
        <v>2.8</v>
      </c>
      <c r="F34" s="3">
        <v>7.1</v>
      </c>
      <c r="G34" s="5" t="s">
        <v>7</v>
      </c>
    </row>
    <row r="35" spans="1:7" x14ac:dyDescent="0.25">
      <c r="A35" s="2">
        <v>45691</v>
      </c>
      <c r="B35" s="4">
        <v>0</v>
      </c>
      <c r="C35" s="4">
        <v>7180</v>
      </c>
      <c r="D35" s="4">
        <v>2246</v>
      </c>
      <c r="E35" s="3">
        <v>3.3</v>
      </c>
      <c r="F35" s="3">
        <v>8</v>
      </c>
      <c r="G35" s="5" t="s">
        <v>8</v>
      </c>
    </row>
    <row r="36" spans="1:7" x14ac:dyDescent="0.25">
      <c r="A36" s="2">
        <v>45692</v>
      </c>
      <c r="B36" s="4">
        <v>20</v>
      </c>
      <c r="C36" s="4">
        <v>9338</v>
      </c>
      <c r="D36" s="4">
        <v>1968</v>
      </c>
      <c r="E36" s="3">
        <v>2.2000000000000002</v>
      </c>
      <c r="F36" s="3">
        <v>6.3</v>
      </c>
      <c r="G36" s="5" t="s">
        <v>7</v>
      </c>
    </row>
    <row r="37" spans="1:7" x14ac:dyDescent="0.25">
      <c r="A37" s="2">
        <v>45693</v>
      </c>
      <c r="B37" s="4">
        <v>30</v>
      </c>
      <c r="C37" s="4">
        <v>11235</v>
      </c>
      <c r="D37" s="4">
        <v>1257</v>
      </c>
      <c r="E37" s="3">
        <v>2.2000000000000002</v>
      </c>
      <c r="F37" s="3">
        <v>7.1</v>
      </c>
      <c r="G37" s="5" t="s">
        <v>7</v>
      </c>
    </row>
    <row r="38" spans="1:7" x14ac:dyDescent="0.25">
      <c r="A38" s="2">
        <v>45694</v>
      </c>
      <c r="B38" s="4">
        <v>0</v>
      </c>
      <c r="C38" s="4">
        <v>8809</v>
      </c>
      <c r="D38" s="4">
        <v>1965</v>
      </c>
      <c r="E38" s="3">
        <v>3.4</v>
      </c>
      <c r="F38" s="3">
        <v>5.5</v>
      </c>
      <c r="G38" s="5" t="s">
        <v>8</v>
      </c>
    </row>
    <row r="39" spans="1:7" x14ac:dyDescent="0.25">
      <c r="A39" s="2">
        <v>45695</v>
      </c>
      <c r="B39" s="4">
        <v>0</v>
      </c>
      <c r="C39" s="4">
        <v>10036</v>
      </c>
      <c r="D39" s="4">
        <v>2102</v>
      </c>
      <c r="E39" s="3">
        <v>2.9</v>
      </c>
      <c r="F39" s="3">
        <v>6.4</v>
      </c>
      <c r="G39" s="5" t="s">
        <v>7</v>
      </c>
    </row>
    <row r="40" spans="1:7" x14ac:dyDescent="0.25">
      <c r="A40" s="2">
        <v>45696</v>
      </c>
      <c r="B40" s="4">
        <v>20</v>
      </c>
      <c r="C40" s="4">
        <v>9663</v>
      </c>
      <c r="D40" s="4">
        <v>1787</v>
      </c>
      <c r="E40" s="3">
        <v>1.9</v>
      </c>
      <c r="F40" s="3">
        <v>7</v>
      </c>
      <c r="G40" s="5" t="s">
        <v>8</v>
      </c>
    </row>
    <row r="41" spans="1:7" x14ac:dyDescent="0.25">
      <c r="A41" s="2">
        <v>45697</v>
      </c>
      <c r="B41" s="4">
        <v>0</v>
      </c>
      <c r="C41" s="4">
        <v>5554</v>
      </c>
      <c r="D41" s="4">
        <v>1936</v>
      </c>
      <c r="E41" s="3">
        <v>3.9</v>
      </c>
      <c r="F41" s="3">
        <v>6.9</v>
      </c>
      <c r="G41" s="5" t="s">
        <v>8</v>
      </c>
    </row>
    <row r="42" spans="1:7" x14ac:dyDescent="0.25">
      <c r="A42" s="2">
        <v>45698</v>
      </c>
      <c r="B42" s="4">
        <v>20</v>
      </c>
      <c r="C42" s="4">
        <v>11440</v>
      </c>
      <c r="D42" s="4">
        <v>1753</v>
      </c>
      <c r="E42" s="3">
        <v>2.8</v>
      </c>
      <c r="F42" s="3">
        <v>6</v>
      </c>
      <c r="G42" s="5" t="s">
        <v>7</v>
      </c>
    </row>
    <row r="43" spans="1:7" x14ac:dyDescent="0.25">
      <c r="A43" s="2">
        <v>45699</v>
      </c>
      <c r="B43" s="4">
        <v>30</v>
      </c>
      <c r="C43" s="4">
        <v>8873</v>
      </c>
      <c r="D43" s="4">
        <v>2412</v>
      </c>
      <c r="E43" s="3">
        <v>1.7</v>
      </c>
      <c r="F43" s="3">
        <v>7</v>
      </c>
      <c r="G43" s="5" t="s">
        <v>8</v>
      </c>
    </row>
    <row r="44" spans="1:7" x14ac:dyDescent="0.25">
      <c r="A44" s="2">
        <v>45700</v>
      </c>
      <c r="B44" s="4">
        <v>60</v>
      </c>
      <c r="C44" s="4">
        <v>3015</v>
      </c>
      <c r="D44" s="4">
        <v>1646</v>
      </c>
      <c r="E44" s="3">
        <v>3.2</v>
      </c>
      <c r="F44" s="3">
        <v>8.1999999999999993</v>
      </c>
      <c r="G44" s="5" t="s">
        <v>8</v>
      </c>
    </row>
    <row r="45" spans="1:7" x14ac:dyDescent="0.25">
      <c r="A45" s="2">
        <v>45701</v>
      </c>
      <c r="B45" s="4">
        <v>20</v>
      </c>
      <c r="C45" s="4">
        <v>5180</v>
      </c>
      <c r="D45" s="4">
        <v>2291</v>
      </c>
      <c r="E45" s="3">
        <v>3.2</v>
      </c>
      <c r="F45" s="3">
        <v>6.2</v>
      </c>
      <c r="G45" s="5" t="s">
        <v>8</v>
      </c>
    </row>
    <row r="46" spans="1:7" x14ac:dyDescent="0.25">
      <c r="A46" s="2">
        <v>45702</v>
      </c>
      <c r="B46" s="4">
        <v>30</v>
      </c>
      <c r="C46" s="4">
        <v>10042</v>
      </c>
      <c r="D46" s="4">
        <v>1748</v>
      </c>
      <c r="E46" s="3">
        <v>1.8</v>
      </c>
      <c r="F46" s="3">
        <v>8.4</v>
      </c>
      <c r="G46" s="5" t="s">
        <v>7</v>
      </c>
    </row>
    <row r="47" spans="1:7" x14ac:dyDescent="0.25">
      <c r="A47" s="2">
        <v>45703</v>
      </c>
      <c r="B47" s="4">
        <v>60</v>
      </c>
      <c r="C47" s="4">
        <v>8537</v>
      </c>
      <c r="D47" s="4">
        <v>1301</v>
      </c>
      <c r="E47" s="3">
        <v>3.8</v>
      </c>
      <c r="F47" s="3">
        <v>5.8</v>
      </c>
      <c r="G47" s="5" t="s">
        <v>8</v>
      </c>
    </row>
    <row r="48" spans="1:7" x14ac:dyDescent="0.25">
      <c r="A48" s="2">
        <v>45704</v>
      </c>
      <c r="B48" s="4">
        <v>0</v>
      </c>
      <c r="C48" s="4">
        <v>6851</v>
      </c>
      <c r="D48" s="4">
        <v>1863</v>
      </c>
      <c r="E48" s="3">
        <v>3.7</v>
      </c>
      <c r="F48" s="3">
        <v>5.7</v>
      </c>
      <c r="G48" s="5" t="s">
        <v>8</v>
      </c>
    </row>
    <row r="49" spans="1:7" x14ac:dyDescent="0.25">
      <c r="A49" s="2">
        <v>45705</v>
      </c>
      <c r="B49" s="4">
        <v>0</v>
      </c>
      <c r="C49" s="4">
        <v>9016</v>
      </c>
      <c r="D49" s="4">
        <v>2273</v>
      </c>
      <c r="E49" s="3">
        <v>3.3</v>
      </c>
      <c r="F49" s="3">
        <v>7.6</v>
      </c>
      <c r="G49" s="5" t="s">
        <v>7</v>
      </c>
    </row>
    <row r="50" spans="1:7" x14ac:dyDescent="0.25">
      <c r="A50" s="2">
        <v>45706</v>
      </c>
      <c r="B50" s="4">
        <v>45</v>
      </c>
      <c r="C50" s="4">
        <v>3678</v>
      </c>
      <c r="D50" s="4">
        <v>1305</v>
      </c>
      <c r="E50" s="3">
        <v>3.7</v>
      </c>
      <c r="F50" s="3">
        <v>8.4</v>
      </c>
      <c r="G50" s="5" t="s">
        <v>7</v>
      </c>
    </row>
    <row r="51" spans="1:7" x14ac:dyDescent="0.25">
      <c r="A51" s="2">
        <v>45707</v>
      </c>
      <c r="B51" s="4">
        <v>0</v>
      </c>
      <c r="C51" s="4">
        <v>7117</v>
      </c>
      <c r="D51" s="4">
        <v>1371</v>
      </c>
      <c r="E51" s="3">
        <v>4</v>
      </c>
      <c r="F51" s="3">
        <v>6.7</v>
      </c>
      <c r="G51" s="5" t="s">
        <v>7</v>
      </c>
    </row>
    <row r="52" spans="1:7" x14ac:dyDescent="0.25">
      <c r="A52" s="2">
        <v>45708</v>
      </c>
      <c r="B52" s="4">
        <v>60</v>
      </c>
      <c r="C52" s="4">
        <v>7569</v>
      </c>
      <c r="D52" s="4">
        <v>1404</v>
      </c>
      <c r="E52" s="3">
        <v>3.1</v>
      </c>
      <c r="F52" s="3">
        <v>7.8</v>
      </c>
      <c r="G52" s="5" t="s">
        <v>7</v>
      </c>
    </row>
    <row r="53" spans="1:7" x14ac:dyDescent="0.25">
      <c r="A53" s="2">
        <v>45709</v>
      </c>
      <c r="B53" s="4">
        <v>0</v>
      </c>
      <c r="C53" s="4">
        <v>7928</v>
      </c>
      <c r="D53" s="4">
        <v>2272</v>
      </c>
      <c r="E53" s="3">
        <v>2</v>
      </c>
      <c r="F53" s="3">
        <v>6</v>
      </c>
      <c r="G53" s="5" t="s">
        <v>8</v>
      </c>
    </row>
    <row r="54" spans="1:7" x14ac:dyDescent="0.25">
      <c r="A54" s="2">
        <v>45710</v>
      </c>
      <c r="B54" s="4">
        <v>30</v>
      </c>
      <c r="C54" s="4">
        <v>3374</v>
      </c>
      <c r="D54" s="4">
        <v>1422</v>
      </c>
      <c r="E54" s="3">
        <v>1.8</v>
      </c>
      <c r="F54" s="3">
        <v>6.2</v>
      </c>
      <c r="G54" s="5" t="s">
        <v>7</v>
      </c>
    </row>
    <row r="55" spans="1:7" x14ac:dyDescent="0.25">
      <c r="A55" s="2">
        <v>45711</v>
      </c>
      <c r="B55" s="4">
        <v>0</v>
      </c>
      <c r="C55" s="4">
        <v>6284</v>
      </c>
      <c r="D55" s="4">
        <v>1844</v>
      </c>
      <c r="E55" s="3">
        <v>2.1</v>
      </c>
      <c r="F55" s="3">
        <v>6.5</v>
      </c>
      <c r="G55" s="5" t="s">
        <v>7</v>
      </c>
    </row>
    <row r="56" spans="1:7" x14ac:dyDescent="0.25">
      <c r="A56" s="2">
        <v>45712</v>
      </c>
      <c r="B56" s="4">
        <v>20</v>
      </c>
      <c r="C56" s="4">
        <v>4839</v>
      </c>
      <c r="D56" s="4">
        <v>1913</v>
      </c>
      <c r="E56" s="3">
        <v>3.7</v>
      </c>
      <c r="F56" s="3">
        <v>7.3</v>
      </c>
      <c r="G56" s="5" t="s">
        <v>7</v>
      </c>
    </row>
    <row r="57" spans="1:7" x14ac:dyDescent="0.25">
      <c r="A57" s="2">
        <v>45713</v>
      </c>
      <c r="B57" s="4">
        <v>45</v>
      </c>
      <c r="C57" s="4">
        <v>8095</v>
      </c>
      <c r="D57" s="4">
        <v>1211</v>
      </c>
      <c r="E57" s="3">
        <v>1.9</v>
      </c>
      <c r="F57" s="3">
        <v>8.3000000000000007</v>
      </c>
      <c r="G57" s="5" t="s">
        <v>8</v>
      </c>
    </row>
    <row r="58" spans="1:7" x14ac:dyDescent="0.25">
      <c r="A58" s="2">
        <v>45714</v>
      </c>
      <c r="B58" s="4">
        <v>60</v>
      </c>
      <c r="C58" s="4">
        <v>5896</v>
      </c>
      <c r="D58" s="4">
        <v>2270</v>
      </c>
      <c r="E58" s="3">
        <v>2.7</v>
      </c>
      <c r="F58" s="3">
        <v>6.2</v>
      </c>
      <c r="G58" s="5" t="s">
        <v>7</v>
      </c>
    </row>
    <row r="59" spans="1:7" x14ac:dyDescent="0.25">
      <c r="A59" s="2">
        <v>45715</v>
      </c>
      <c r="B59" s="4">
        <v>30</v>
      </c>
      <c r="C59" s="4">
        <v>7519</v>
      </c>
      <c r="D59" s="4">
        <v>1872</v>
      </c>
      <c r="E59" s="3">
        <v>3.8</v>
      </c>
      <c r="F59" s="3">
        <v>8.5</v>
      </c>
      <c r="G59" s="5" t="s">
        <v>8</v>
      </c>
    </row>
    <row r="60" spans="1:7" x14ac:dyDescent="0.25">
      <c r="A60" s="2">
        <v>45716</v>
      </c>
      <c r="B60" s="4">
        <v>20</v>
      </c>
      <c r="C60" s="4">
        <v>8497</v>
      </c>
      <c r="D60" s="4">
        <v>1920</v>
      </c>
      <c r="E60" s="3">
        <v>1.8</v>
      </c>
      <c r="F60" s="3">
        <v>5.6</v>
      </c>
      <c r="G60" s="5" t="s">
        <v>8</v>
      </c>
    </row>
    <row r="61" spans="1:7" x14ac:dyDescent="0.25">
      <c r="A61" s="2">
        <v>45717</v>
      </c>
      <c r="B61" s="4">
        <v>45</v>
      </c>
      <c r="C61" s="4">
        <v>2775</v>
      </c>
      <c r="D61" s="4">
        <v>1608</v>
      </c>
      <c r="E61" s="3">
        <v>2.8</v>
      </c>
      <c r="F61" s="3">
        <v>7.3</v>
      </c>
      <c r="G61" s="5" t="s">
        <v>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Fitness_Tracker</vt:lpstr>
      <vt:lpstr>PT_WorkoutTrend</vt:lpstr>
      <vt:lpstr>PT_StepsTrend</vt:lpstr>
      <vt:lpstr>PT_CaloriesBurned</vt:lpstr>
      <vt:lpstr>PT_SleepTrend</vt:lpstr>
      <vt:lpstr>PT_HabitRate</vt:lpstr>
      <vt:lpstr>PT_Water_Intake</vt:lpstr>
      <vt:lpstr>Dashboard_Sheet</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Tanjeero</cp:lastModifiedBy>
  <dcterms:created xsi:type="dcterms:W3CDTF">2025-11-24T07:26:20Z</dcterms:created>
  <dcterms:modified xsi:type="dcterms:W3CDTF">2025-11-25T09:37:22Z</dcterms:modified>
</cp:coreProperties>
</file>